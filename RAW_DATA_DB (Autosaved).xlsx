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OneDrive\Documents\"/>
    </mc:Choice>
  </mc:AlternateContent>
  <bookViews>
    <workbookView xWindow="0" yWindow="0" windowWidth="23040" windowHeight="8556" activeTab="2"/>
  </bookViews>
  <sheets>
    <sheet name="Sheet2" sheetId="2" r:id="rId1"/>
    <sheet name="DASHBOARD" sheetId="3" r:id="rId2"/>
    <sheet name="Sheet1" sheetId="1" r:id="rId3"/>
  </sheets>
  <definedNames>
    <definedName name="Slicer_Category">#N/A</definedName>
    <definedName name="Slicer_Sub_Category">#N/A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3"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L9" i="1"/>
  <c r="L8" i="1"/>
  <c r="L7" i="1"/>
  <c r="L6" i="1"/>
  <c r="L5" i="1"/>
  <c r="L4" i="1"/>
</calcChain>
</file>

<file path=xl/sharedStrings.xml><?xml version="1.0" encoding="utf-8"?>
<sst xmlns="http://schemas.openxmlformats.org/spreadsheetml/2006/main" count="511" uniqueCount="273">
  <si>
    <t>Product_Name</t>
  </si>
  <si>
    <t>Category</t>
  </si>
  <si>
    <t>Sub_Category</t>
  </si>
  <si>
    <t>Brand</t>
  </si>
  <si>
    <t>Cost</t>
  </si>
  <si>
    <t>Stock</t>
  </si>
  <si>
    <t>Brother Laser Printer</t>
  </si>
  <si>
    <t>Electronics</t>
  </si>
  <si>
    <t>Computer</t>
  </si>
  <si>
    <t>Hunt Inc</t>
  </si>
  <si>
    <t>Men's Graphic T-Shirt</t>
  </si>
  <si>
    <t>Clothing</t>
  </si>
  <si>
    <t>Tops</t>
  </si>
  <si>
    <t>Terry-Moore</t>
  </si>
  <si>
    <t>Women's Casual Hoodie</t>
  </si>
  <si>
    <t>Outerwear</t>
  </si>
  <si>
    <t>Sims Inc</t>
  </si>
  <si>
    <t>Men's Running Jacket</t>
  </si>
  <si>
    <t>Pineda Ltd</t>
  </si>
  <si>
    <t>Women's Yoga Pants</t>
  </si>
  <si>
    <t>Bottoms</t>
  </si>
  <si>
    <t>Gonzales-Davis</t>
  </si>
  <si>
    <t>Men's Leather Belt</t>
  </si>
  <si>
    <t>Accessories</t>
  </si>
  <si>
    <t>Baldwin, Garza and Gonzalez</t>
  </si>
  <si>
    <t>Herbal Face Moisturizer</t>
  </si>
  <si>
    <t>Beauty</t>
  </si>
  <si>
    <t>Skincare</t>
  </si>
  <si>
    <t>Davidson PLC</t>
  </si>
  <si>
    <t>LED Table Lamp</t>
  </si>
  <si>
    <t>Home</t>
  </si>
  <si>
    <t>Lighting</t>
  </si>
  <si>
    <t>Harrell LLC</t>
  </si>
  <si>
    <t>Wireless Bluetooth Earbuds</t>
  </si>
  <si>
    <t>Audio</t>
  </si>
  <si>
    <t>Perez-Johnston</t>
  </si>
  <si>
    <t>Adjustable Dumbbell Set</t>
  </si>
  <si>
    <t>Sports</t>
  </si>
  <si>
    <t>Fitness</t>
  </si>
  <si>
    <t>Hill PLC</t>
  </si>
  <si>
    <t>Ceramic Kitchen Bowl Set</t>
  </si>
  <si>
    <t>Kitchen</t>
  </si>
  <si>
    <t>Hamilton Group</t>
  </si>
  <si>
    <t>HD Smart TV Stick</t>
  </si>
  <si>
    <t>Gibson, Hobbs and Weaver</t>
  </si>
  <si>
    <t>Hair Strengthening Shampoo</t>
  </si>
  <si>
    <t>Haircare</t>
  </si>
  <si>
    <t>Rice LLC</t>
  </si>
  <si>
    <t>USB-C Fast Charger</t>
  </si>
  <si>
    <t>Dawson-Perkins</t>
  </si>
  <si>
    <t>Decorative Wall Mirror</t>
  </si>
  <si>
    <t>Decor</t>
  </si>
  <si>
    <t>Luna, Anderson and Bowman</t>
  </si>
  <si>
    <t>4K Home Projector</t>
  </si>
  <si>
    <t>Appliances</t>
  </si>
  <si>
    <t>Thomas LLC</t>
  </si>
  <si>
    <t>Beard Grooming Kit</t>
  </si>
  <si>
    <t>Grooming</t>
  </si>
  <si>
    <t>Erickson-Green</t>
  </si>
  <si>
    <t>Soccer Training Cone Set</t>
  </si>
  <si>
    <t>Ford, Murphy and Wilson</t>
  </si>
  <si>
    <t>Women's Denim Jeans</t>
  </si>
  <si>
    <t>Guerra-Hendrix</t>
  </si>
  <si>
    <t>Knee Support Brace</t>
  </si>
  <si>
    <t>Equipment</t>
  </si>
  <si>
    <t>May-Reese</t>
  </si>
  <si>
    <t>Outdoor Sports Water Bottle</t>
  </si>
  <si>
    <t>Soto-Ellis</t>
  </si>
  <si>
    <t>Multi-Purpose Storage Box</t>
  </si>
  <si>
    <t>Storage</t>
  </si>
  <si>
    <t>Gardner-Montes</t>
  </si>
  <si>
    <t>Carbon Fiber Tennis Racket</t>
  </si>
  <si>
    <t>Flores, Pineda and Rodriguez</t>
  </si>
  <si>
    <t>Men's Formal Shirt</t>
  </si>
  <si>
    <t>Moon, Mora and Santos</t>
  </si>
  <si>
    <t>Foldable Camping Chair</t>
  </si>
  <si>
    <t>Outdoor</t>
  </si>
  <si>
    <t>Cook Ltd</t>
  </si>
  <si>
    <t>Women's Scarf Set</t>
  </si>
  <si>
    <t>Brown and Sons</t>
  </si>
  <si>
    <t>Wireless Bluetooth Speaker</t>
  </si>
  <si>
    <t>Reed-Schmidt</t>
  </si>
  <si>
    <t>Decorative Floor Vase</t>
  </si>
  <si>
    <t>Khan, Jones and Paul</t>
  </si>
  <si>
    <t>Sports Stopwatch Timer</t>
  </si>
  <si>
    <t>Burns-Hansen</t>
  </si>
  <si>
    <t>Fabric Sofa Throw Blanket</t>
  </si>
  <si>
    <t>Hoffman Group</t>
  </si>
  <si>
    <t>Stainless Steel Cutlery Set</t>
  </si>
  <si>
    <t>Stevens, Fernandez and Martin</t>
  </si>
  <si>
    <t>Basketball</t>
  </si>
  <si>
    <t>Team Sports</t>
  </si>
  <si>
    <t>Nolan-Snow</t>
  </si>
  <si>
    <t>Vitamin C Face Serum</t>
  </si>
  <si>
    <t>Griffin Ltd</t>
  </si>
  <si>
    <t>Modern Wall Clock</t>
  </si>
  <si>
    <t>Weiss-Watson</t>
  </si>
  <si>
    <t>Gaming Mechanical Keyboard</t>
  </si>
  <si>
    <t>Lucero LLC</t>
  </si>
  <si>
    <t>Bedroom Table Lamp</t>
  </si>
  <si>
    <t>Jones LLC</t>
  </si>
  <si>
    <t>Women's Summer Dress</t>
  </si>
  <si>
    <t>Smith-Mills</t>
  </si>
  <si>
    <t>Men's Casual Sneakers</t>
  </si>
  <si>
    <t>Footwear</t>
  </si>
  <si>
    <t>Hogan-Lee</t>
  </si>
  <si>
    <t>Sports Water Hydration Pack</t>
  </si>
  <si>
    <t>Sims-Smith</t>
  </si>
  <si>
    <t>Portable Power Bank</t>
  </si>
  <si>
    <t>Mobile</t>
  </si>
  <si>
    <t>Cummings and Sons</t>
  </si>
  <si>
    <t>Noise-Canceling Headphones</t>
  </si>
  <si>
    <t>Taylor-Hart</t>
  </si>
  <si>
    <t>Yoga Exercise Mat</t>
  </si>
  <si>
    <t>Carroll, Long and Mendoza</t>
  </si>
  <si>
    <t>Smart Home WiFi Camera</t>
  </si>
  <si>
    <t>Holmes LLC</t>
  </si>
  <si>
    <t>USB External Hard Drive</t>
  </si>
  <si>
    <t>Robinson Inc</t>
  </si>
  <si>
    <t>Adjustable Jump Rope</t>
  </si>
  <si>
    <t>Cox Inc</t>
  </si>
  <si>
    <t>High-Grip Football</t>
  </si>
  <si>
    <t>Bridges, Banks and Cummings</t>
  </si>
  <si>
    <t>Men's Winter Jacket</t>
  </si>
  <si>
    <t>Kelly, Smith and Perez</t>
  </si>
  <si>
    <t>Makeup Brush Set</t>
  </si>
  <si>
    <t>Makeup</t>
  </si>
  <si>
    <t>Cook Inc</t>
  </si>
  <si>
    <t>Car Dashboard Phone Holder</t>
  </si>
  <si>
    <t>Byrd, Stewart and Valdez</t>
  </si>
  <si>
    <t>Men's Roll-On Perfume</t>
  </si>
  <si>
    <t>Fragrance</t>
  </si>
  <si>
    <t>Sullivan and Sons</t>
  </si>
  <si>
    <t>Boxing Hand Wraps</t>
  </si>
  <si>
    <t>Smith-King</t>
  </si>
  <si>
    <t>HDMI Cable – 2m</t>
  </si>
  <si>
    <t>Bautista, Green and Hale</t>
  </si>
  <si>
    <t>Rugby Ball</t>
  </si>
  <si>
    <t>Harris Inc</t>
  </si>
  <si>
    <t>Men's Track Pants</t>
  </si>
  <si>
    <t>Hamilton, Woods and Walker</t>
  </si>
  <si>
    <t>Sports Stopwatch Pro</t>
  </si>
  <si>
    <t>Thompson-French</t>
  </si>
  <si>
    <t>Ceramic Plant Pot</t>
  </si>
  <si>
    <t>Hatfield, Baird and Torres</t>
  </si>
  <si>
    <t>Premium Blanket Throw</t>
  </si>
  <si>
    <t>Hernandez, Kennedy and Porter</t>
  </si>
  <si>
    <t>Foam Roller</t>
  </si>
  <si>
    <t>Atkinson, Camacho and Oliver</t>
  </si>
  <si>
    <t>Womens Cotton Scarf</t>
  </si>
  <si>
    <t>Shepherd-Gould</t>
  </si>
  <si>
    <t>Men's Hair Styling Gel</t>
  </si>
  <si>
    <t>Cline-Mccarthy</t>
  </si>
  <si>
    <t>Luxury Perfume Spray</t>
  </si>
  <si>
    <t>Gibson, Green and Lopez</t>
  </si>
  <si>
    <t>Tennis Ball 3-Pack</t>
  </si>
  <si>
    <t>Lopez LLC</t>
  </si>
  <si>
    <t>Laptop Cooling Pad</t>
  </si>
  <si>
    <t>Murray, Gould and Ware</t>
  </si>
  <si>
    <t>Organic Sunscreen Lotion</t>
  </si>
  <si>
    <t>Anderson-Riley</t>
  </si>
  <si>
    <t>Matte Lipstick Set</t>
  </si>
  <si>
    <t>Zhang Inc</t>
  </si>
  <si>
    <t>Adjustable Dumbbells 20kg</t>
  </si>
  <si>
    <t>Montgomery, Benton and Miller</t>
  </si>
  <si>
    <t>Women's Hair Dryer Brush</t>
  </si>
  <si>
    <t>Torres, Spencer and Potter</t>
  </si>
  <si>
    <t>Smart LED Light Strip</t>
  </si>
  <si>
    <t>Flores-Davis</t>
  </si>
  <si>
    <t>Wooden Nightstand</t>
  </si>
  <si>
    <t>Furniture</t>
  </si>
  <si>
    <t>Wolfe, Ross and Hester</t>
  </si>
  <si>
    <t>Men's Sports Shorts</t>
  </si>
  <si>
    <t>Fitzpatrick Ltd</t>
  </si>
  <si>
    <t>Kitchen Storage Rack</t>
  </si>
  <si>
    <t>Duran Group</t>
  </si>
  <si>
    <t>Hair Repair Oil Treatment</t>
  </si>
  <si>
    <t>Hopkins Ltd</t>
  </si>
  <si>
    <t>Professional Jump Rope</t>
  </si>
  <si>
    <t>Davis PLC</t>
  </si>
  <si>
    <t>Shin Guards – Adult</t>
  </si>
  <si>
    <t>French Ltd</t>
  </si>
  <si>
    <t>Bluetooth Car Audio System</t>
  </si>
  <si>
    <t>Bruce-Bowen</t>
  </si>
  <si>
    <t>Women's Ankle Boots</t>
  </si>
  <si>
    <t>Poole PLC</t>
  </si>
  <si>
    <t>Wireless Mouse</t>
  </si>
  <si>
    <t>Larson Ltd</t>
  </si>
  <si>
    <t>WiFi Mesh Router</t>
  </si>
  <si>
    <t>White, Reeves and Woods</t>
  </si>
  <si>
    <t>Essential Oil Diffuser</t>
  </si>
  <si>
    <t>Hernandez Inc</t>
  </si>
  <si>
    <t>Decorative Lamp Shade</t>
  </si>
  <si>
    <t>Ramirez-Hanson</t>
  </si>
  <si>
    <t>Wall-Mounted Spice Rack</t>
  </si>
  <si>
    <t>Allison Ltd</t>
  </si>
  <si>
    <t>Badminton Racket Set</t>
  </si>
  <si>
    <t>Robinson-Brown</t>
  </si>
  <si>
    <t>Fitness Resistance Bands</t>
  </si>
  <si>
    <t>Reese-Watson</t>
  </si>
  <si>
    <t>Hydrating Face Cleanser</t>
  </si>
  <si>
    <t>Butler Group</t>
  </si>
  <si>
    <t>Wooden Bookshelf</t>
  </si>
  <si>
    <t>Collins-Stephenson</t>
  </si>
  <si>
    <t>Women's Beanie Hat</t>
  </si>
  <si>
    <t>Richardson-Carrillo</t>
  </si>
  <si>
    <t>Kitchen Cutting Board</t>
  </si>
  <si>
    <t>Taylor, Dodson and Johnston</t>
  </si>
  <si>
    <t>LED Bedside Lamp</t>
  </si>
  <si>
    <t>Aguilar, Horton and Lewis</t>
  </si>
  <si>
    <t>Sports Wrist Sweatbands</t>
  </si>
  <si>
    <t>Olsen-Daniels</t>
  </si>
  <si>
    <t>Face Foundation Kit</t>
  </si>
  <si>
    <t>Taylor-Elliott</t>
  </si>
  <si>
    <t>Gaming Mouse Pad XL</t>
  </si>
  <si>
    <t>Sharp, Taylor and Rodriguez</t>
  </si>
  <si>
    <t>Women's High Heels</t>
  </si>
  <si>
    <t>Smith-Charles</t>
  </si>
  <si>
    <t>Microwave Oven</t>
  </si>
  <si>
    <t>Green, Powell and Palmer</t>
  </si>
  <si>
    <t>USB-C Laptop Charger</t>
  </si>
  <si>
    <t>Martin LLC</t>
  </si>
  <si>
    <t>Vitamin E Body Lotion</t>
  </si>
  <si>
    <t>Hoffman-Williams</t>
  </si>
  <si>
    <t>Sports Stopwatch Basic</t>
  </si>
  <si>
    <t>Wilson Group</t>
  </si>
  <si>
    <t>Women's Formal Blazer</t>
  </si>
  <si>
    <t>Phillips and Sons</t>
  </si>
  <si>
    <t>Cricket Bat</t>
  </si>
  <si>
    <t>Khan LLC</t>
  </si>
  <si>
    <t>Portable Bluetooth Speaker</t>
  </si>
  <si>
    <t>Flores-King</t>
  </si>
  <si>
    <t>Stainless Steel Cookware Set</t>
  </si>
  <si>
    <t>Campbell Ltd</t>
  </si>
  <si>
    <t>Product_ID</t>
  </si>
  <si>
    <t xml:space="preserve">Average of cost </t>
  </si>
  <si>
    <t>Maximum of cost</t>
  </si>
  <si>
    <t xml:space="preserve">Minimum of cost </t>
  </si>
  <si>
    <t>Total of stock</t>
  </si>
  <si>
    <t>Average of stock</t>
  </si>
  <si>
    <t xml:space="preserve"> Total Number of products</t>
  </si>
  <si>
    <t>Stock_Status</t>
  </si>
  <si>
    <t>Sum of Cost</t>
  </si>
  <si>
    <t>How many products are available in each category</t>
  </si>
  <si>
    <t>Count of Product_Name</t>
  </si>
  <si>
    <t>What is the total stock available in each category</t>
  </si>
  <si>
    <t>Sum of Stock</t>
  </si>
  <si>
    <t>PRODUCT_ID</t>
  </si>
  <si>
    <t>VLOOKUP</t>
  </si>
  <si>
    <t xml:space="preserve">          COST</t>
  </si>
  <si>
    <t>Mean</t>
  </si>
  <si>
    <t>Standard Error</t>
  </si>
  <si>
    <t>Median</t>
  </si>
  <si>
    <t>Mode</t>
  </si>
  <si>
    <t>Standard Deviation</t>
  </si>
  <si>
    <t>Sample Variance</t>
  </si>
  <si>
    <t>Kurtosis</t>
  </si>
  <si>
    <t>Skewness</t>
  </si>
  <si>
    <t>Range</t>
  </si>
  <si>
    <t>Minimum</t>
  </si>
  <si>
    <t>Maximum</t>
  </si>
  <si>
    <t>Sum</t>
  </si>
  <si>
    <t>Count</t>
  </si>
  <si>
    <t>DESCRIPTIVE STAT FOR COST</t>
  </si>
  <si>
    <t>DESCRIPTIVE STAT FOR STOCK</t>
  </si>
  <si>
    <t>CATEGORY</t>
  </si>
  <si>
    <t>product</t>
  </si>
  <si>
    <t xml:space="preserve"> What is sum of cost for each product</t>
  </si>
  <si>
    <t>what is the sum of stock for each category</t>
  </si>
  <si>
    <t>Row Labels</t>
  </si>
  <si>
    <t>Grand Total</t>
  </si>
  <si>
    <t>Average of Cost</t>
  </si>
  <si>
    <t>Average cost of products for each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</si>
</sst>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8">
    <font>
      <sz val="11"/>
      <color theme="1"/>
      <name val="Calibri"/>
      <family val="2"/>
      <scheme val="minor"/>
    </font>
    <font>
      <sz val="11"/>
      <color indexed="8"/>
      <name val="Calibri"/>
      <charset val="134"/>
    </font>
    <font>
      <b/>
      <sz val="11"/>
      <name val="Calibri"/>
      <charset val="134"/>
    </font>
    <font>
      <sz val="11"/>
      <color indexed="8"/>
      <name val="Calibri"/>
    </font>
    <font>
      <sz val="11"/>
      <color indexed="8"/>
      <name val="Calibri"/>
      <family val="2"/>
    </font>
    <font>
      <b/>
      <sz val="11"/>
      <name val="Calibri"/>
      <family val="2"/>
    </font>
    <font>
      <sz val="11"/>
      <color indexed="8"/>
      <name val="Calibri"/>
      <family val="2"/>
      <charset val="134"/>
    </font>
    <font>
      <i/>
      <sz val="11"/>
      <color theme="1"/>
      <name val="Calibri"/>
      <family val="2"/>
      <scheme val="minor"/>
    </font>
  </fonts>
  <fills count="7">
    <fill>
      <patternFill patternType="none"/>
    </fill>
    <fill>
      <patternFill patternType="gray125"/>
    </fill>
    <fill>
      <patternFill patternType="solid">
        <fgColor theme="7"/>
        <bgColor indexed="64"/>
      </patternFill>
    </fill>
    <fill>
      <patternFill patternType="solid">
        <fgColor theme="3" tint="0.39997558519241921"/>
        <bgColor indexed="64"/>
      </patternFill>
    </fill>
    <fill>
      <patternFill patternType="solid">
        <fgColor theme="0"/>
        <bgColor theme="4" tint="0.79998168889431442"/>
      </patternFill>
    </fill>
    <fill>
      <patternFill patternType="solid">
        <fgColor theme="2"/>
        <bgColor indexed="64"/>
      </patternFill>
    </fill>
    <fill>
      <patternFill patternType="solid">
        <fgColor theme="0"/>
        <bgColor indexed="64"/>
      </patternFill>
    </fill>
  </fills>
  <borders count="9">
    <border>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medium">
        <color indexed="64"/>
      </bottom>
      <diagonal/>
    </border>
  </borders>
  <cellStyleXfs count="1">
    <xf numFmtId="0" fontId="0" fillId="0" borderId="0"/>
  </cellStyleXfs>
  <cellXfs count="42">
    <xf numFmtId="0" fontId="0" fillId="0" borderId="0" xfId="0"/>
    <xf numFmtId="0" fontId="2" fillId="0" borderId="1" xfId="0" applyNumberFormat="1" applyFont="1" applyFill="1" applyBorder="1" applyAlignment="1" applyProtection="1">
      <alignment horizontal="center" vertical="top"/>
    </xf>
    <xf numFmtId="164" fontId="2" fillId="0" borderId="1" xfId="0" applyNumberFormat="1" applyFont="1" applyFill="1" applyBorder="1" applyAlignment="1" applyProtection="1">
      <alignment horizontal="center" vertical="top"/>
    </xf>
    <xf numFmtId="2" fontId="2" fillId="0" borderId="1" xfId="0" applyNumberFormat="1" applyFont="1" applyFill="1" applyBorder="1" applyAlignment="1" applyProtection="1">
      <alignment horizontal="center" vertical="top"/>
    </xf>
    <xf numFmtId="0" fontId="0" fillId="0" borderId="2" xfId="0" applyBorder="1"/>
    <xf numFmtId="0" fontId="0" fillId="0" borderId="4" xfId="0" applyBorder="1"/>
    <xf numFmtId="0" fontId="0" fillId="0" borderId="5" xfId="0" applyBorder="1"/>
    <xf numFmtId="164" fontId="0" fillId="0" borderId="3" xfId="0" applyNumberFormat="1" applyBorder="1"/>
    <xf numFmtId="2" fontId="0" fillId="0" borderId="3" xfId="0" applyNumberFormat="1" applyBorder="1"/>
    <xf numFmtId="0" fontId="0" fillId="0" borderId="0" xfId="0" pivotButton="1"/>
    <xf numFmtId="0" fontId="0" fillId="0" borderId="0" xfId="0" applyNumberFormat="1"/>
    <xf numFmtId="0" fontId="0" fillId="0" borderId="0" xfId="0" applyAlignment="1">
      <alignment horizontal="left"/>
    </xf>
    <xf numFmtId="0" fontId="0" fillId="0" borderId="6" xfId="0" applyBorder="1" applyAlignment="1">
      <alignment horizontal="center"/>
    </xf>
    <xf numFmtId="0" fontId="6" fillId="0" borderId="6" xfId="0" applyNumberFormat="1" applyFont="1" applyBorder="1" applyAlignment="1">
      <alignment horizontal="center"/>
    </xf>
    <xf numFmtId="0" fontId="6" fillId="0" borderId="7" xfId="0" applyNumberFormat="1" applyFont="1" applyBorder="1" applyAlignment="1">
      <alignment horizontal="center"/>
    </xf>
    <xf numFmtId="0" fontId="0" fillId="0" borderId="7" xfId="0" applyBorder="1" applyAlignment="1">
      <alignment horizontal="center"/>
    </xf>
    <xf numFmtId="0" fontId="0" fillId="2" borderId="0" xfId="0" applyFill="1" applyAlignment="1"/>
    <xf numFmtId="0" fontId="6" fillId="4" borderId="6" xfId="0" applyNumberFormat="1" applyFont="1" applyFill="1" applyBorder="1" applyAlignment="1">
      <alignment horizontal="center"/>
    </xf>
    <xf numFmtId="0" fontId="5" fillId="5" borderId="1" xfId="0" applyNumberFormat="1" applyFont="1" applyFill="1" applyBorder="1" applyAlignment="1" applyProtection="1">
      <alignment horizontal="center" vertical="top"/>
    </xf>
    <xf numFmtId="0" fontId="0" fillId="0" borderId="0" xfId="0" applyAlignment="1"/>
    <xf numFmtId="0" fontId="1" fillId="0" borderId="0" xfId="0" applyNumberFormat="1" applyFont="1" applyFill="1" applyBorder="1" applyAlignment="1" applyProtection="1">
      <alignment horizontal="center"/>
    </xf>
    <xf numFmtId="0" fontId="3" fillId="0" borderId="0" xfId="0" applyNumberFormat="1" applyFont="1" applyFill="1" applyAlignment="1" applyProtection="1">
      <alignment horizontal="center"/>
    </xf>
    <xf numFmtId="0" fontId="0" fillId="0" borderId="0" xfId="0" applyAlignment="1">
      <alignment horizontal="center"/>
    </xf>
    <xf numFmtId="164" fontId="1" fillId="0" borderId="0" xfId="0" applyNumberFormat="1" applyFont="1" applyFill="1" applyBorder="1" applyAlignment="1" applyProtection="1">
      <alignment horizontal="center"/>
    </xf>
    <xf numFmtId="164" fontId="3" fillId="0" borderId="0" xfId="0" applyNumberFormat="1" applyFont="1" applyFill="1" applyAlignment="1" applyProtection="1">
      <alignment horizontal="center"/>
    </xf>
    <xf numFmtId="164" fontId="0" fillId="0" borderId="0" xfId="0" applyNumberFormat="1" applyAlignment="1">
      <alignment horizontal="center"/>
    </xf>
    <xf numFmtId="2" fontId="1" fillId="0" borderId="0" xfId="0" applyNumberFormat="1" applyFont="1" applyFill="1" applyBorder="1" applyAlignment="1" applyProtection="1">
      <alignment horizontal="center"/>
    </xf>
    <xf numFmtId="2" fontId="3" fillId="0" borderId="0" xfId="0" applyNumberFormat="1" applyFont="1" applyFill="1" applyAlignment="1" applyProtection="1">
      <alignment horizontal="center"/>
    </xf>
    <xf numFmtId="2" fontId="0" fillId="0" borderId="0" xfId="0" applyNumberFormat="1" applyAlignment="1">
      <alignment horizontal="center"/>
    </xf>
    <xf numFmtId="0" fontId="4" fillId="2" borderId="0" xfId="0" applyNumberFormat="1" applyFont="1" applyFill="1" applyAlignment="1" applyProtection="1">
      <alignment horizontal="center"/>
    </xf>
    <xf numFmtId="0" fontId="4" fillId="6" borderId="0" xfId="0" applyNumberFormat="1" applyFont="1" applyFill="1" applyAlignment="1" applyProtection="1">
      <alignment horizontal="center"/>
    </xf>
    <xf numFmtId="0" fontId="4" fillId="0" borderId="0" xfId="0" applyFont="1" applyFill="1" applyAlignment="1" applyProtection="1">
      <alignment horizontal="center"/>
    </xf>
    <xf numFmtId="0" fontId="0" fillId="0" borderId="0" xfId="0" applyFill="1" applyBorder="1" applyAlignment="1"/>
    <xf numFmtId="0" fontId="0" fillId="0" borderId="8" xfId="0" applyFill="1" applyBorder="1" applyAlignment="1"/>
    <xf numFmtId="0" fontId="7" fillId="0" borderId="0" xfId="0" applyFont="1" applyFill="1" applyBorder="1" applyAlignment="1"/>
    <xf numFmtId="0" fontId="0" fillId="0" borderId="0" xfId="0" applyAlignment="1">
      <alignment horizontal="left" vertical="center" indent="5"/>
    </xf>
    <xf numFmtId="0" fontId="7" fillId="0" borderId="0" xfId="0" applyFont="1" applyFill="1" applyBorder="1" applyAlignment="1">
      <alignment horizontal="left" vertical="center" indent="5"/>
    </xf>
    <xf numFmtId="0" fontId="7" fillId="0" borderId="6" xfId="0" applyFont="1" applyFill="1" applyBorder="1" applyAlignment="1">
      <alignment horizontal="left" vertical="center" indent="5"/>
    </xf>
    <xf numFmtId="0" fontId="0" fillId="0" borderId="6" xfId="0" applyFill="1" applyBorder="1" applyAlignment="1"/>
    <xf numFmtId="0" fontId="0" fillId="0" borderId="6" xfId="0" applyFill="1" applyBorder="1" applyAlignment="1">
      <alignment horizontal="center"/>
    </xf>
    <xf numFmtId="0" fontId="7" fillId="0" borderId="6" xfId="0" applyFont="1" applyFill="1" applyBorder="1" applyAlignment="1"/>
    <xf numFmtId="0" fontId="0" fillId="3" borderId="0" xfId="0" applyFill="1" applyAlignment="1">
      <alignment horizontal="center"/>
    </xf>
  </cellXfs>
  <cellStyles count="1">
    <cellStyle name="Normal" xfId="0" builtinId="0"/>
  </cellStyles>
  <dxfs count="32">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4"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4" tint="0.39997558519241921"/>
        </patternFill>
      </fill>
      <alignment horizontal="center" vertical="bottom" textRotation="0" wrapText="0" indent="0" justifyLastLine="0" shrinkToFit="0" readingOrder="0"/>
    </dxf>
    <dxf>
      <border outline="0">
        <bottom style="thin">
          <color auto="1"/>
        </bottom>
      </border>
    </dxf>
    <dxf>
      <fill>
        <patternFill patternType="solid">
          <fgColor indexed="64"/>
          <bgColor theme="4" tint="0.39997558519241921"/>
        </patternFill>
      </fill>
      <alignment horizontal="center" vertical="bottom" textRotation="0" wrapText="0" indent="0" justifyLastLine="0" shrinkToFit="0" readingOrder="0"/>
    </dxf>
    <dxf>
      <numFmt numFmtId="164" formatCode="&quot;$&quot;#,##0.00"/>
      <border diagonalUp="0" diagonalDown="0" outline="0">
        <left style="thin">
          <color auto="1"/>
        </left>
        <right/>
        <top/>
        <bottom style="thin">
          <color auto="1"/>
        </bottom>
      </border>
    </dxf>
    <dxf>
      <border diagonalUp="0" diagonalDown="0">
        <left/>
        <right style="thin">
          <color auto="1"/>
        </right>
        <top style="thin">
          <color auto="1"/>
        </top>
        <bottom style="thin">
          <color auto="1"/>
        </bottom>
        <vertical/>
        <horizontal/>
      </border>
    </dxf>
    <dxf>
      <border diagonalUp="0" diagonalDown="0" outline="0">
        <left/>
        <right style="thin">
          <color auto="1"/>
        </right>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alignment horizont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 formatCode="0.0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2" formatCode="0.0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64" formatCode="&quot;$&quot;#,##0.0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64" formatCode="&quot;$&quot;#,##0.00"/>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border outline="0">
        <top style="thin">
          <color auto="1"/>
        </top>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border outline="0">
        <bottom style="thin">
          <color auto="1"/>
        </bottom>
      </border>
    </dxf>
    <dxf>
      <font>
        <b/>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(Autosaved).xlsx]Sheet2!PivotTable2</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52-4F0A-8BE5-88109AE07F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52-4F0A-8BE5-88109AE07F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52-4F0A-8BE5-88109AE07F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52-4F0A-8BE5-88109AE07F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52-4F0A-8BE5-88109AE07F8E}"/>
              </c:ext>
            </c:extLst>
          </c:dPt>
          <c:cat>
            <c:strRef>
              <c:f>Sheet2!$A$12:$A$16</c:f>
              <c:strCache>
                <c:ptCount val="5"/>
                <c:pt idx="0">
                  <c:v>Beauty</c:v>
                </c:pt>
                <c:pt idx="1">
                  <c:v>Clothing</c:v>
                </c:pt>
                <c:pt idx="2">
                  <c:v>Electronics</c:v>
                </c:pt>
                <c:pt idx="3">
                  <c:v>Home</c:v>
                </c:pt>
                <c:pt idx="4">
                  <c:v>Sports</c:v>
                </c:pt>
              </c:strCache>
            </c:strRef>
          </c:cat>
          <c:val>
            <c:numRef>
              <c:f>Sheet2!$B$12:$B$16</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0-66F4-4665-AA3D-93D0CD84E91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9670669291338581"/>
          <c:y val="0.22624781277340328"/>
          <c:w val="0.52266360454943128"/>
          <c:h val="0.6293157626130067"/>
        </c:manualLayout>
      </c:layout>
      <c:barChart>
        <c:barDir val="bar"/>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Sheet2!$A$21:$A$25</c:f>
              <c:strCache>
                <c:ptCount val="5"/>
                <c:pt idx="0">
                  <c:v>Beauty</c:v>
                </c:pt>
                <c:pt idx="1">
                  <c:v>Clothing</c:v>
                </c:pt>
                <c:pt idx="2">
                  <c:v>Electronics</c:v>
                </c:pt>
                <c:pt idx="3">
                  <c:v>Home</c:v>
                </c:pt>
                <c:pt idx="4">
                  <c:v>Sports</c:v>
                </c:pt>
              </c:strCache>
            </c:strRef>
          </c:cat>
          <c:val>
            <c:numRef>
              <c:f>Sheet2!$B$21:$B$25</c:f>
              <c:numCache>
                <c:formatCode>General</c:formatCode>
                <c:ptCount val="5"/>
                <c:pt idx="0">
                  <c:v>4816</c:v>
                </c:pt>
                <c:pt idx="1">
                  <c:v>4931</c:v>
                </c:pt>
                <c:pt idx="2">
                  <c:v>5770</c:v>
                </c:pt>
                <c:pt idx="3">
                  <c:v>4797</c:v>
                </c:pt>
                <c:pt idx="4">
                  <c:v>7043</c:v>
                </c:pt>
              </c:numCache>
            </c:numRef>
          </c:val>
          <c:extLst>
            <c:ext xmlns:c16="http://schemas.microsoft.com/office/drawing/2014/chart" uri="{C3380CC4-5D6E-409C-BE32-E72D297353CC}">
              <c16:uniqueId val="{00000000-3C01-46AA-A5FC-614E83E69ACC}"/>
            </c:ext>
          </c:extLst>
        </c:ser>
        <c:dLbls>
          <c:showLegendKey val="0"/>
          <c:showVal val="0"/>
          <c:showCatName val="0"/>
          <c:showSerName val="0"/>
          <c:showPercent val="0"/>
          <c:showBubbleSize val="0"/>
        </c:dLbls>
        <c:gapWidth val="182"/>
        <c:axId val="351212975"/>
        <c:axId val="351215055"/>
      </c:barChart>
      <c:catAx>
        <c:axId val="35121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5055"/>
        <c:crosses val="autoZero"/>
        <c:auto val="1"/>
        <c:lblAlgn val="ctr"/>
        <c:lblOffset val="100"/>
        <c:noMultiLvlLbl val="0"/>
      </c:catAx>
      <c:valAx>
        <c:axId val="35121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29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Sheet2!$B$34</c:f>
              <c:strCache>
                <c:ptCount val="1"/>
                <c:pt idx="0">
                  <c:v>Total</c:v>
                </c:pt>
              </c:strCache>
            </c:strRef>
          </c:tx>
          <c:spPr>
            <a:solidFill>
              <a:schemeClr val="accent1"/>
            </a:solidFill>
            <a:ln>
              <a:noFill/>
            </a:ln>
            <a:effectLst/>
          </c:spPr>
          <c:invertIfNegative val="0"/>
          <c:cat>
            <c:strRef>
              <c:f>Sheet2!$A$35:$A$39</c:f>
              <c:strCache>
                <c:ptCount val="5"/>
                <c:pt idx="0">
                  <c:v>Beauty</c:v>
                </c:pt>
                <c:pt idx="1">
                  <c:v>Clothing</c:v>
                </c:pt>
                <c:pt idx="2">
                  <c:v>Electronics</c:v>
                </c:pt>
                <c:pt idx="3">
                  <c:v>Home</c:v>
                </c:pt>
                <c:pt idx="4">
                  <c:v>Sports</c:v>
                </c:pt>
              </c:strCache>
            </c:strRef>
          </c:cat>
          <c:val>
            <c:numRef>
              <c:f>Sheet2!$B$35:$B$39</c:f>
              <c:numCache>
                <c:formatCode>General</c:formatCode>
                <c:ptCount val="5"/>
                <c:pt idx="0">
                  <c:v>3763.49</c:v>
                </c:pt>
                <c:pt idx="1">
                  <c:v>4748.1099999999997</c:v>
                </c:pt>
                <c:pt idx="2">
                  <c:v>6647.66</c:v>
                </c:pt>
                <c:pt idx="3">
                  <c:v>4950.16</c:v>
                </c:pt>
                <c:pt idx="4">
                  <c:v>5294.9199999999992</c:v>
                </c:pt>
              </c:numCache>
            </c:numRef>
          </c:val>
          <c:extLst>
            <c:ext xmlns:c16="http://schemas.microsoft.com/office/drawing/2014/chart" uri="{C3380CC4-5D6E-409C-BE32-E72D297353CC}">
              <c16:uniqueId val="{00000002-5985-4763-B86B-EA3ABBFB396C}"/>
            </c:ext>
          </c:extLst>
        </c:ser>
        <c:dLbls>
          <c:showLegendKey val="0"/>
          <c:showVal val="0"/>
          <c:showCatName val="0"/>
          <c:showSerName val="0"/>
          <c:showPercent val="0"/>
          <c:showBubbleSize val="0"/>
        </c:dLbls>
        <c:gapWidth val="219"/>
        <c:overlap val="-27"/>
        <c:axId val="517203344"/>
        <c:axId val="517204176"/>
      </c:barChart>
      <c:catAx>
        <c:axId val="51720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4176"/>
        <c:crosses val="autoZero"/>
        <c:auto val="1"/>
        <c:lblAlgn val="ctr"/>
        <c:lblOffset val="100"/>
        <c:noMultiLvlLbl val="0"/>
      </c:catAx>
      <c:valAx>
        <c:axId val="51720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3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(Autosaved).xlsx]Sheet2!PivotTable5</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Sheet2!$B$49</c:f>
              <c:strCache>
                <c:ptCount val="1"/>
                <c:pt idx="0">
                  <c:v>Total</c:v>
                </c:pt>
              </c:strCache>
            </c:strRef>
          </c:tx>
          <c:spPr>
            <a:ln w="28575" cap="rnd">
              <a:solidFill>
                <a:schemeClr val="accent1"/>
              </a:solidFill>
              <a:round/>
            </a:ln>
            <a:effectLst/>
          </c:spPr>
          <c:marker>
            <c:symbol val="none"/>
          </c:marker>
          <c:cat>
            <c:strRef>
              <c:f>Sheet2!$A$50:$A$72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Sheet2!$B$50:$B$72</c:f>
              <c:numCache>
                <c:formatCode>General</c:formatCode>
                <c:ptCount val="23"/>
                <c:pt idx="0">
                  <c:v>4598</c:v>
                </c:pt>
                <c:pt idx="1">
                  <c:v>596</c:v>
                </c:pt>
                <c:pt idx="2">
                  <c:v>965</c:v>
                </c:pt>
                <c:pt idx="3">
                  <c:v>1179</c:v>
                </c:pt>
                <c:pt idx="4">
                  <c:v>1795</c:v>
                </c:pt>
                <c:pt idx="5">
                  <c:v>2264</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smooth val="0"/>
          <c:extLst>
            <c:ext xmlns:c16="http://schemas.microsoft.com/office/drawing/2014/chart" uri="{C3380CC4-5D6E-409C-BE32-E72D297353CC}">
              <c16:uniqueId val="{00000000-925B-4257-8EFB-C26F8FF6FA17}"/>
            </c:ext>
          </c:extLst>
        </c:ser>
        <c:dLbls>
          <c:showLegendKey val="0"/>
          <c:showVal val="0"/>
          <c:showCatName val="0"/>
          <c:showSerName val="0"/>
          <c:showPercent val="0"/>
          <c:showBubbleSize val="0"/>
        </c:dLbls>
        <c:smooth val="0"/>
        <c:axId val="510762416"/>
        <c:axId val="510768240"/>
      </c:lineChart>
      <c:catAx>
        <c:axId val="5107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8240"/>
        <c:crosses val="autoZero"/>
        <c:auto val="1"/>
        <c:lblAlgn val="ctr"/>
        <c:lblOffset val="100"/>
        <c:noMultiLvlLbl val="0"/>
      </c:catAx>
      <c:valAx>
        <c:axId val="51076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2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Beauty</c:v>
                </c:pt>
                <c:pt idx="1">
                  <c:v>Clothing</c:v>
                </c:pt>
                <c:pt idx="2">
                  <c:v>Electronics</c:v>
                </c:pt>
                <c:pt idx="3">
                  <c:v>Home</c:v>
                </c:pt>
                <c:pt idx="4">
                  <c:v>Sports</c:v>
                </c:pt>
              </c:strCache>
            </c:strRef>
          </c:cat>
          <c:val>
            <c:numRef>
              <c:f>Sheet2!$B$4:$B$8</c:f>
              <c:numCache>
                <c:formatCode>General</c:formatCode>
                <c:ptCount val="5"/>
                <c:pt idx="0">
                  <c:v>250.89933333333332</c:v>
                </c:pt>
                <c:pt idx="1">
                  <c:v>263.7838888888889</c:v>
                </c:pt>
                <c:pt idx="2">
                  <c:v>316.55523809523811</c:v>
                </c:pt>
                <c:pt idx="3">
                  <c:v>235.72190476190477</c:v>
                </c:pt>
                <c:pt idx="4">
                  <c:v>211.79679999999996</c:v>
                </c:pt>
              </c:numCache>
            </c:numRef>
          </c:val>
          <c:extLst>
            <c:ext xmlns:c16="http://schemas.microsoft.com/office/drawing/2014/chart" uri="{C3380CC4-5D6E-409C-BE32-E72D297353CC}">
              <c16:uniqueId val="{00000000-54FE-456C-A27F-A64E666FFF81}"/>
            </c:ext>
          </c:extLst>
        </c:ser>
        <c:dLbls>
          <c:showLegendKey val="0"/>
          <c:showVal val="0"/>
          <c:showCatName val="0"/>
          <c:showSerName val="0"/>
          <c:showPercent val="0"/>
          <c:showBubbleSize val="0"/>
        </c:dLbls>
        <c:gapWidth val="219"/>
        <c:overlap val="-27"/>
        <c:axId val="737239872"/>
        <c:axId val="737239040"/>
      </c:barChart>
      <c:catAx>
        <c:axId val="7372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39040"/>
        <c:crosses val="autoZero"/>
        <c:auto val="1"/>
        <c:lblAlgn val="ctr"/>
        <c:lblOffset val="100"/>
        <c:noMultiLvlLbl val="0"/>
      </c:catAx>
      <c:valAx>
        <c:axId val="73723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3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(Autosaved).xlsx]Sheet2!PivotTable7</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6.5224832182093656E-2"/>
          <c:y val="0.1494440731558507"/>
          <c:w val="0.78792749096282211"/>
          <c:h val="0.6568628851609877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Beauty</c:v>
                </c:pt>
                <c:pt idx="1">
                  <c:v>Clothing</c:v>
                </c:pt>
                <c:pt idx="2">
                  <c:v>Electronics</c:v>
                </c:pt>
                <c:pt idx="3">
                  <c:v>Home</c:v>
                </c:pt>
                <c:pt idx="4">
                  <c:v>Sports</c:v>
                </c:pt>
              </c:strCache>
            </c:strRef>
          </c:cat>
          <c:val>
            <c:numRef>
              <c:f>Sheet2!$B$4:$B$8</c:f>
              <c:numCache>
                <c:formatCode>General</c:formatCode>
                <c:ptCount val="5"/>
                <c:pt idx="0">
                  <c:v>250.89933333333332</c:v>
                </c:pt>
                <c:pt idx="1">
                  <c:v>263.7838888888889</c:v>
                </c:pt>
                <c:pt idx="2">
                  <c:v>316.55523809523811</c:v>
                </c:pt>
                <c:pt idx="3">
                  <c:v>235.72190476190477</c:v>
                </c:pt>
                <c:pt idx="4">
                  <c:v>211.79679999999996</c:v>
                </c:pt>
              </c:numCache>
            </c:numRef>
          </c:val>
          <c:extLst>
            <c:ext xmlns:c16="http://schemas.microsoft.com/office/drawing/2014/chart" uri="{C3380CC4-5D6E-409C-BE32-E72D297353CC}">
              <c16:uniqueId val="{00000000-9C19-499D-9080-D10798CFF6B4}"/>
            </c:ext>
          </c:extLst>
        </c:ser>
        <c:dLbls>
          <c:showLegendKey val="0"/>
          <c:showVal val="0"/>
          <c:showCatName val="0"/>
          <c:showSerName val="0"/>
          <c:showPercent val="0"/>
          <c:showBubbleSize val="0"/>
        </c:dLbls>
        <c:gapWidth val="219"/>
        <c:overlap val="-27"/>
        <c:axId val="737239872"/>
        <c:axId val="737239040"/>
      </c:barChart>
      <c:catAx>
        <c:axId val="7372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39040"/>
        <c:crosses val="autoZero"/>
        <c:auto val="1"/>
        <c:lblAlgn val="ctr"/>
        <c:lblOffset val="100"/>
        <c:noMultiLvlLbl val="0"/>
      </c:catAx>
      <c:valAx>
        <c:axId val="737239040"/>
        <c:scaling>
          <c:orientation val="minMax"/>
        </c:scaling>
        <c:delete val="0"/>
        <c:axPos val="l"/>
        <c:majorGridlines>
          <c:spPr>
            <a:ln w="9525" cap="flat" cmpd="thinThick"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39872"/>
        <c:crosses val="autoZero"/>
        <c:crossBetween val="between"/>
      </c:valAx>
      <c:spPr>
        <a:noFill/>
        <a:ln>
          <a:solidFill>
            <a:schemeClr val="bg1"/>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(Autosaved).xlsx]Sheet2!PivotTable2</c:name>
    <c:fmtId val="1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manualLayout>
          <c:layoutTarget val="inner"/>
          <c:xMode val="edge"/>
          <c:yMode val="edge"/>
          <c:x val="0.28515432146324177"/>
          <c:y val="0.16182716908020567"/>
          <c:w val="0.29045102238932463"/>
          <c:h val="0.78033897182410561"/>
        </c:manualLayout>
      </c:layout>
      <c:pieChart>
        <c:varyColors val="1"/>
        <c:ser>
          <c:idx val="0"/>
          <c:order val="0"/>
          <c:tx>
            <c:strRef>
              <c:f>Sheet2!$B$11</c:f>
              <c:strCache>
                <c:ptCount val="1"/>
                <c:pt idx="0">
                  <c:v>Total</c:v>
                </c:pt>
              </c:strCache>
            </c:strRef>
          </c:tx>
          <c:explosion val="4"/>
          <c:dPt>
            <c:idx val="0"/>
            <c:bubble3D val="0"/>
            <c:explosion val="10"/>
            <c:spPr>
              <a:solidFill>
                <a:schemeClr val="accent1"/>
              </a:solidFill>
              <a:ln w="19050">
                <a:solidFill>
                  <a:schemeClr val="lt1"/>
                </a:solidFill>
              </a:ln>
              <a:effectLst/>
            </c:spPr>
            <c:extLst>
              <c:ext xmlns:c16="http://schemas.microsoft.com/office/drawing/2014/chart" uri="{C3380CC4-5D6E-409C-BE32-E72D297353CC}">
                <c16:uniqueId val="{00000001-46BB-40C3-B8EB-7CDD7377C7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BB-40C3-B8EB-7CDD7377C7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BB-40C3-B8EB-7CDD7377C7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BB-40C3-B8EB-7CDD7377C7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BB-40C3-B8EB-7CDD7377C703}"/>
              </c:ext>
            </c:extLst>
          </c:dPt>
          <c:cat>
            <c:strRef>
              <c:f>Sheet2!$A$12:$A$16</c:f>
              <c:strCache>
                <c:ptCount val="5"/>
                <c:pt idx="0">
                  <c:v>Beauty</c:v>
                </c:pt>
                <c:pt idx="1">
                  <c:v>Clothing</c:v>
                </c:pt>
                <c:pt idx="2">
                  <c:v>Electronics</c:v>
                </c:pt>
                <c:pt idx="3">
                  <c:v>Home</c:v>
                </c:pt>
                <c:pt idx="4">
                  <c:v>Sports</c:v>
                </c:pt>
              </c:strCache>
            </c:strRef>
          </c:cat>
          <c:val>
            <c:numRef>
              <c:f>Sheet2!$B$12:$B$16</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A-46BB-40C3-B8EB-7CDD7377C70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895832714669523"/>
          <c:y val="0.32680082320663167"/>
          <c:w val="0.19406387444353837"/>
          <c:h val="0.56132303127262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(Autosaved).xlsx]Sheet2!PivotTable5</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manualLayout>
          <c:layoutTarget val="inner"/>
          <c:xMode val="edge"/>
          <c:yMode val="edge"/>
          <c:x val="9.0614390904486225E-2"/>
          <c:y val="0.18243453263994175"/>
          <c:w val="0.7338934307852667"/>
          <c:h val="0.53572298027963894"/>
        </c:manualLayout>
      </c:layout>
      <c:lineChart>
        <c:grouping val="standard"/>
        <c:varyColors val="0"/>
        <c:ser>
          <c:idx val="0"/>
          <c:order val="0"/>
          <c:tx>
            <c:strRef>
              <c:f>Sheet2!$B$49</c:f>
              <c:strCache>
                <c:ptCount val="1"/>
                <c:pt idx="0">
                  <c:v>Total</c:v>
                </c:pt>
              </c:strCache>
            </c:strRef>
          </c:tx>
          <c:spPr>
            <a:ln w="28575" cap="rnd">
              <a:solidFill>
                <a:schemeClr val="accent1"/>
              </a:solidFill>
              <a:round/>
            </a:ln>
            <a:effectLst/>
          </c:spPr>
          <c:marker>
            <c:symbol val="none"/>
          </c:marker>
          <c:cat>
            <c:strRef>
              <c:f>Sheet2!$A$50:$A$72</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Sheet2!$B$50:$B$72</c:f>
              <c:numCache>
                <c:formatCode>General</c:formatCode>
                <c:ptCount val="23"/>
                <c:pt idx="0">
                  <c:v>4598</c:v>
                </c:pt>
                <c:pt idx="1">
                  <c:v>596</c:v>
                </c:pt>
                <c:pt idx="2">
                  <c:v>965</c:v>
                </c:pt>
                <c:pt idx="3">
                  <c:v>1179</c:v>
                </c:pt>
                <c:pt idx="4">
                  <c:v>1795</c:v>
                </c:pt>
                <c:pt idx="5">
                  <c:v>2264</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smooth val="0"/>
          <c:extLst>
            <c:ext xmlns:c16="http://schemas.microsoft.com/office/drawing/2014/chart" uri="{C3380CC4-5D6E-409C-BE32-E72D297353CC}">
              <c16:uniqueId val="{00000000-1C8C-4BB4-AAF6-C0F4E51ECDDF}"/>
            </c:ext>
          </c:extLst>
        </c:ser>
        <c:dLbls>
          <c:showLegendKey val="0"/>
          <c:showVal val="0"/>
          <c:showCatName val="0"/>
          <c:showSerName val="0"/>
          <c:showPercent val="0"/>
          <c:showBubbleSize val="0"/>
        </c:dLbls>
        <c:smooth val="0"/>
        <c:axId val="510762416"/>
        <c:axId val="510768240"/>
      </c:lineChart>
      <c:catAx>
        <c:axId val="5107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8240"/>
        <c:crosses val="autoZero"/>
        <c:auto val="1"/>
        <c:lblAlgn val="ctr"/>
        <c:lblOffset val="100"/>
        <c:noMultiLvlLbl val="0"/>
      </c:catAx>
      <c:valAx>
        <c:axId val="51076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62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[RAW_DATA_DB (Autosaved).xlsx]Sheet2!PivotTable3</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2904526943512924"/>
          <c:y val="0.19260022678860972"/>
          <c:w val="0.52266360454943128"/>
          <c:h val="0.6293157626130067"/>
        </c:manualLayout>
      </c:layout>
      <c:barChart>
        <c:barDir val="bar"/>
        <c:grouping val="clustered"/>
        <c:varyColors val="0"/>
        <c:ser>
          <c:idx val="0"/>
          <c:order val="0"/>
          <c:tx>
            <c:strRef>
              <c:f>Sheet2!$B$20</c:f>
              <c:strCache>
                <c:ptCount val="1"/>
                <c:pt idx="0">
                  <c:v>Total</c:v>
                </c:pt>
              </c:strCache>
            </c:strRef>
          </c:tx>
          <c:spPr>
            <a:solidFill>
              <a:schemeClr val="accent1"/>
            </a:solidFill>
            <a:ln>
              <a:noFill/>
            </a:ln>
            <a:effectLst/>
          </c:spPr>
          <c:invertIfNegative val="0"/>
          <c:cat>
            <c:strRef>
              <c:f>Sheet2!$A$21:$A$25</c:f>
              <c:strCache>
                <c:ptCount val="5"/>
                <c:pt idx="0">
                  <c:v>Beauty</c:v>
                </c:pt>
                <c:pt idx="1">
                  <c:v>Clothing</c:v>
                </c:pt>
                <c:pt idx="2">
                  <c:v>Electronics</c:v>
                </c:pt>
                <c:pt idx="3">
                  <c:v>Home</c:v>
                </c:pt>
                <c:pt idx="4">
                  <c:v>Sports</c:v>
                </c:pt>
              </c:strCache>
            </c:strRef>
          </c:cat>
          <c:val>
            <c:numRef>
              <c:f>Sheet2!$B$21:$B$25</c:f>
              <c:numCache>
                <c:formatCode>General</c:formatCode>
                <c:ptCount val="5"/>
                <c:pt idx="0">
                  <c:v>4816</c:v>
                </c:pt>
                <c:pt idx="1">
                  <c:v>4931</c:v>
                </c:pt>
                <c:pt idx="2">
                  <c:v>5770</c:v>
                </c:pt>
                <c:pt idx="3">
                  <c:v>4797</c:v>
                </c:pt>
                <c:pt idx="4">
                  <c:v>7043</c:v>
                </c:pt>
              </c:numCache>
            </c:numRef>
          </c:val>
          <c:extLst>
            <c:ext xmlns:c16="http://schemas.microsoft.com/office/drawing/2014/chart" uri="{C3380CC4-5D6E-409C-BE32-E72D297353CC}">
              <c16:uniqueId val="{00000000-E5EC-487E-BA1D-34AC74B86BB2}"/>
            </c:ext>
          </c:extLst>
        </c:ser>
        <c:dLbls>
          <c:showLegendKey val="0"/>
          <c:showVal val="0"/>
          <c:showCatName val="0"/>
          <c:showSerName val="0"/>
          <c:showPercent val="0"/>
          <c:showBubbleSize val="0"/>
        </c:dLbls>
        <c:gapWidth val="182"/>
        <c:axId val="351212975"/>
        <c:axId val="351215055"/>
      </c:barChart>
      <c:catAx>
        <c:axId val="351212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5055"/>
        <c:crosses val="autoZero"/>
        <c:auto val="1"/>
        <c:lblAlgn val="ctr"/>
        <c:lblOffset val="100"/>
        <c:noMultiLvlLbl val="0"/>
      </c:catAx>
      <c:valAx>
        <c:axId val="35121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29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microsoft.com/office/2007/relationships/hdphoto" Target="../media/hdphoto1.wdp"/><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495300</xdr:colOff>
      <xdr:row>14</xdr:row>
      <xdr:rowOff>175260</xdr:rowOff>
    </xdr:from>
    <xdr:to>
      <xdr:col>6</xdr:col>
      <xdr:colOff>876300</xdr:colOff>
      <xdr:row>27</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167640</xdr:colOff>
      <xdr:row>4</xdr:row>
      <xdr:rowOff>152400</xdr:rowOff>
    </xdr:from>
    <xdr:to>
      <xdr:col>10</xdr:col>
      <xdr:colOff>1013460</xdr:colOff>
      <xdr:row>18</xdr:row>
      <xdr:rowOff>121920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30</xdr:row>
      <xdr:rowOff>152400</xdr:rowOff>
    </xdr:from>
    <xdr:to>
      <xdr:col>7</xdr:col>
      <xdr:colOff>15240</xdr:colOff>
      <xdr:row>45</xdr:row>
      <xdr:rowOff>22860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xdr:colOff>
      <xdr:row>50</xdr:row>
      <xdr:rowOff>114300</xdr:rowOff>
    </xdr:from>
    <xdr:to>
      <xdr:col>8</xdr:col>
      <xdr:colOff>190500</xdr:colOff>
      <xdr:row>70</xdr:row>
      <xdr:rowOff>144780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441960</xdr:colOff>
      <xdr:row>0</xdr:row>
      <xdr:rowOff>45720</xdr:rowOff>
    </xdr:from>
    <xdr:to>
      <xdr:col>6</xdr:col>
      <xdr:colOff>541020</xdr:colOff>
      <xdr:row>14</xdr:row>
      <xdr:rowOff>22860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167640</xdr:colOff>
      <xdr:row>13</xdr:row>
      <xdr:rowOff>45720</xdr:rowOff>
    </xdr:from>
    <xdr:to>
      <xdr:col>12</xdr:col>
      <xdr:colOff>15240</xdr:colOff>
      <xdr:row>16</xdr:row>
      <xdr:rowOff>45720</xdr:rowOff>
    </xdr:to>
    <xdr:sp macro="" textlink="">
      <xdr:nvSpPr>
        <xdr:cNvPr id="6" name="TextBox 5"/>
        <xdr:cNvSpPr txBox="1"/>
      </xdr:nvSpPr>
      <xdr:spPr>
        <a:xfrm>
          <a:off x="3215640" y="2438400"/>
          <a:ext cx="4114800" cy="548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304800</xdr:colOff>
      <xdr:row>33</xdr:row>
      <xdr:rowOff>101600</xdr:rowOff>
    </xdr:from>
    <xdr:to>
      <xdr:col>13</xdr:col>
      <xdr:colOff>182880</xdr:colOff>
      <xdr:row>35</xdr:row>
      <xdr:rowOff>60960</xdr:rowOff>
    </xdr:to>
    <xdr:sp macro="" textlink="">
      <xdr:nvSpPr>
        <xdr:cNvPr id="10" name="TextBox 9"/>
        <xdr:cNvSpPr txBox="1"/>
      </xdr:nvSpPr>
      <xdr:spPr>
        <a:xfrm>
          <a:off x="4572000" y="6151880"/>
          <a:ext cx="3535680" cy="325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a:p>
      </xdr:txBody>
    </xdr:sp>
    <xdr:clientData/>
  </xdr:twoCellAnchor>
  <xdr:twoCellAnchor>
    <xdr:from>
      <xdr:col>16</xdr:col>
      <xdr:colOff>304800</xdr:colOff>
      <xdr:row>36</xdr:row>
      <xdr:rowOff>0</xdr:rowOff>
    </xdr:from>
    <xdr:to>
      <xdr:col>27</xdr:col>
      <xdr:colOff>243840</xdr:colOff>
      <xdr:row>37</xdr:row>
      <xdr:rowOff>137160</xdr:rowOff>
    </xdr:to>
    <xdr:sp macro="" textlink="">
      <xdr:nvSpPr>
        <xdr:cNvPr id="11" name="TextBox 10"/>
        <xdr:cNvSpPr txBox="1"/>
      </xdr:nvSpPr>
      <xdr:spPr>
        <a:xfrm>
          <a:off x="10058400" y="6598920"/>
          <a:ext cx="6644640" cy="3200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67513</xdr:colOff>
      <xdr:row>8</xdr:row>
      <xdr:rowOff>38100</xdr:rowOff>
    </xdr:from>
    <xdr:to>
      <xdr:col>18</xdr:col>
      <xdr:colOff>0</xdr:colOff>
      <xdr:row>32</xdr:row>
      <xdr:rowOff>9526</xdr:rowOff>
    </xdr:to>
    <xdr:grpSp>
      <xdr:nvGrpSpPr>
        <xdr:cNvPr id="23" name="Group 22"/>
        <xdr:cNvGrpSpPr/>
      </xdr:nvGrpSpPr>
      <xdr:grpSpPr>
        <a:xfrm>
          <a:off x="3115513" y="1504950"/>
          <a:ext cx="7857287" cy="4314826"/>
          <a:chOff x="23304085" y="2670970"/>
          <a:chExt cx="12049036" cy="7428033"/>
        </a:xfrm>
      </xdr:grpSpPr>
      <xdr:sp macro="" textlink="">
        <xdr:nvSpPr>
          <xdr:cNvPr id="48" name="Rounded Rectangle 47"/>
          <xdr:cNvSpPr/>
        </xdr:nvSpPr>
        <xdr:spPr>
          <a:xfrm flipH="1">
            <a:off x="23304781" y="2670970"/>
            <a:ext cx="5373192" cy="341066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xdr:cNvSpPr txBox="1"/>
        </xdr:nvSpPr>
        <xdr:spPr>
          <a:xfrm>
            <a:off x="25181811" y="3940967"/>
            <a:ext cx="3138240" cy="528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AVERAGE</a:t>
            </a:r>
            <a:r>
              <a:rPr lang="en-US" sz="1600" baseline="0">
                <a:solidFill>
                  <a:schemeClr val="dk1"/>
                </a:solidFill>
                <a:effectLst/>
                <a:latin typeface="+mn-lt"/>
                <a:ea typeface="+mn-ea"/>
                <a:cs typeface="+mn-cs"/>
              </a:rPr>
              <a:t> COST OF PRODUCTS</a:t>
            </a:r>
            <a:endParaRPr lang="en-US" sz="1600">
              <a:effectLst/>
            </a:endParaRPr>
          </a:p>
          <a:p>
            <a:endParaRPr lang="en-US" sz="1600"/>
          </a:p>
        </xdr:txBody>
      </xdr:sp>
      <xdr:graphicFrame macro="">
        <xdr:nvGraphicFramePr>
          <xdr:cNvPr id="50" name="Chart 49"/>
          <xdr:cNvGraphicFramePr>
            <a:graphicFrameLocks/>
          </xdr:cNvGraphicFramePr>
        </xdr:nvGraphicFramePr>
        <xdr:xfrm>
          <a:off x="23467320" y="3343263"/>
          <a:ext cx="4737783" cy="241042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3" name="Rounded Rectangle 52"/>
          <xdr:cNvSpPr/>
        </xdr:nvSpPr>
        <xdr:spPr>
          <a:xfrm flipH="1">
            <a:off x="28798631" y="2867739"/>
            <a:ext cx="6320787" cy="3148305"/>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xdr:cNvSpPr txBox="1"/>
        </xdr:nvSpPr>
        <xdr:spPr>
          <a:xfrm>
            <a:off x="28893642" y="3116205"/>
            <a:ext cx="3832261" cy="486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COUNT OF PRODUCTS AVAILABLE</a:t>
            </a:r>
            <a:endParaRPr lang="en-US" sz="1100">
              <a:effectLst/>
            </a:endParaRPr>
          </a:p>
          <a:p>
            <a:endParaRPr lang="en-US" sz="1800"/>
          </a:p>
        </xdr:txBody>
      </xdr:sp>
      <xdr:graphicFrame macro="">
        <xdr:nvGraphicFramePr>
          <xdr:cNvPr id="54" name="Chart 53"/>
          <xdr:cNvGraphicFramePr>
            <a:graphicFrameLocks/>
          </xdr:cNvGraphicFramePr>
        </xdr:nvGraphicFramePr>
        <xdr:xfrm>
          <a:off x="29192596" y="3493883"/>
          <a:ext cx="5458880" cy="211135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8" name="Rounded Rectangle 57"/>
          <xdr:cNvSpPr/>
        </xdr:nvSpPr>
        <xdr:spPr>
          <a:xfrm flipH="1">
            <a:off x="23304085" y="6315390"/>
            <a:ext cx="5432313" cy="378361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23317612" y="6457037"/>
            <a:ext cx="4175628" cy="482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SUM OF STOCK AVAILABLE FOR</a:t>
            </a:r>
            <a:r>
              <a:rPr lang="en-US" sz="1000" baseline="0">
                <a:solidFill>
                  <a:schemeClr val="dk1"/>
                </a:solidFill>
                <a:effectLst/>
                <a:latin typeface="+mn-lt"/>
                <a:ea typeface="+mn-ea"/>
                <a:cs typeface="+mn-cs"/>
              </a:rPr>
              <a:t> EACH CATEGORY</a:t>
            </a:r>
            <a:endParaRPr lang="en-US" sz="1000">
              <a:effectLst/>
            </a:endParaRPr>
          </a:p>
          <a:p>
            <a:endParaRPr lang="en-US" sz="1000"/>
          </a:p>
        </xdr:txBody>
      </xdr:sp>
      <xdr:graphicFrame macro="">
        <xdr:nvGraphicFramePr>
          <xdr:cNvPr id="60" name="Chart 59"/>
          <xdr:cNvGraphicFramePr>
            <a:graphicFrameLocks/>
          </xdr:cNvGraphicFramePr>
        </xdr:nvGraphicFramePr>
        <xdr:xfrm>
          <a:off x="23507290" y="6962172"/>
          <a:ext cx="5141035" cy="271049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1" name="Rounded Rectangle 60"/>
          <xdr:cNvSpPr/>
        </xdr:nvSpPr>
        <xdr:spPr>
          <a:xfrm flipH="1">
            <a:off x="29047465" y="6677964"/>
            <a:ext cx="6305656" cy="3322653"/>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xdr:cNvSpPr txBox="1"/>
        </xdr:nvSpPr>
        <xdr:spPr>
          <a:xfrm>
            <a:off x="29830914" y="6613980"/>
            <a:ext cx="4517439" cy="1074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TOTAL STOCK AVAILABLE FOR EACH CATEGORY</a:t>
            </a:r>
            <a:endParaRPr lang="en-US" sz="1000">
              <a:effectLst/>
            </a:endParaRPr>
          </a:p>
          <a:p>
            <a:endParaRPr lang="en-US" sz="1800"/>
          </a:p>
        </xdr:txBody>
      </xdr:sp>
      <xdr:graphicFrame macro="">
        <xdr:nvGraphicFramePr>
          <xdr:cNvPr id="62" name="Chart 61"/>
          <xdr:cNvGraphicFramePr>
            <a:graphicFrameLocks/>
          </xdr:cNvGraphicFramePr>
        </xdr:nvGraphicFramePr>
        <xdr:xfrm>
          <a:off x="29861395" y="7014980"/>
          <a:ext cx="4701681" cy="215834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137582</xdr:colOff>
      <xdr:row>9</xdr:row>
      <xdr:rowOff>68791</xdr:rowOff>
    </xdr:from>
    <xdr:to>
      <xdr:col>4</xdr:col>
      <xdr:colOff>400049</xdr:colOff>
      <xdr:row>16</xdr:row>
      <xdr:rowOff>19050</xdr:rowOff>
    </xdr:to>
    <mc:AlternateContent xmlns:mc="http://schemas.openxmlformats.org/markup-compatibility/2006">
      <mc:Choice xmlns:a14="http://schemas.microsoft.com/office/drawing/2010/main" Requires="a14">
        <xdr:graphicFrame macro="">
          <xdr:nvGraphicFramePr>
            <xdr:cNvPr id="63"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37582" y="1716616"/>
              <a:ext cx="2700867" cy="1217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59266</xdr:colOff>
      <xdr:row>16</xdr:row>
      <xdr:rowOff>127002</xdr:rowOff>
    </xdr:from>
    <xdr:to>
      <xdr:col>4</xdr:col>
      <xdr:colOff>491066</xdr:colOff>
      <xdr:row>31</xdr:row>
      <xdr:rowOff>25401</xdr:rowOff>
    </xdr:to>
    <mc:AlternateContent xmlns:mc="http://schemas.openxmlformats.org/markup-compatibility/2006">
      <mc:Choice xmlns:a14="http://schemas.microsoft.com/office/drawing/2010/main" Requires="a14">
        <xdr:graphicFrame macro="">
          <xdr:nvGraphicFramePr>
            <xdr:cNvPr id="64" name="Sub_Category 2"/>
            <xdr:cNvGraphicFramePr/>
          </xdr:nvGraphicFramePr>
          <xdr:xfrm>
            <a:off x="0" y="0"/>
            <a:ext cx="0" cy="0"/>
          </xdr:xfrm>
          <a:graphic>
            <a:graphicData uri="http://schemas.microsoft.com/office/drawing/2010/slicer">
              <sle:slicer xmlns:sle="http://schemas.microsoft.com/office/drawing/2010/slicer" name="Sub_Category 2"/>
            </a:graphicData>
          </a:graphic>
        </xdr:graphicFrame>
      </mc:Choice>
      <mc:Fallback>
        <xdr:sp macro="" textlink="">
          <xdr:nvSpPr>
            <xdr:cNvPr id="0" name=""/>
            <xdr:cNvSpPr>
              <a:spLocks noTextEdit="1"/>
            </xdr:cNvSpPr>
          </xdr:nvSpPr>
          <xdr:spPr>
            <a:xfrm>
              <a:off x="59266" y="3041652"/>
              <a:ext cx="2870200" cy="261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213481</xdr:colOff>
      <xdr:row>4</xdr:row>
      <xdr:rowOff>101011</xdr:rowOff>
    </xdr:from>
    <xdr:to>
      <xdr:col>3</xdr:col>
      <xdr:colOff>461434</xdr:colOff>
      <xdr:row>7</xdr:row>
      <xdr:rowOff>125112</xdr:rowOff>
    </xdr:to>
    <xdr:grpSp>
      <xdr:nvGrpSpPr>
        <xdr:cNvPr id="70" name="Group 69"/>
        <xdr:cNvGrpSpPr/>
      </xdr:nvGrpSpPr>
      <xdr:grpSpPr>
        <a:xfrm>
          <a:off x="213481" y="843961"/>
          <a:ext cx="2076753" cy="567026"/>
          <a:chOff x="-5571" y="1173481"/>
          <a:chExt cx="2101071" cy="704886"/>
        </a:xfrm>
      </xdr:grpSpPr>
      <xdr:sp macro="" textlink="">
        <xdr:nvSpPr>
          <xdr:cNvPr id="71" name="Rounded Rectangle 70"/>
          <xdr:cNvSpPr/>
        </xdr:nvSpPr>
        <xdr:spPr>
          <a:xfrm>
            <a:off x="0" y="1196337"/>
            <a:ext cx="2095500" cy="68203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ounded Rectangle 71"/>
          <xdr:cNvSpPr/>
        </xdr:nvSpPr>
        <xdr:spPr>
          <a:xfrm>
            <a:off x="-5571" y="1173481"/>
            <a:ext cx="439304" cy="703288"/>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TextBox 72"/>
          <xdr:cNvSpPr txBox="1"/>
        </xdr:nvSpPr>
        <xdr:spPr>
          <a:xfrm>
            <a:off x="624839" y="1234439"/>
            <a:ext cx="1254241" cy="219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solidFill>
              </a:rPr>
              <a:t>TOTAL</a:t>
            </a:r>
            <a:r>
              <a:rPr lang="en-US" sz="1100" b="1"/>
              <a:t> </a:t>
            </a:r>
            <a:r>
              <a:rPr lang="en-US" sz="1100" b="1">
                <a:solidFill>
                  <a:schemeClr val="accent1"/>
                </a:solidFill>
              </a:rPr>
              <a:t>PRODUCTS</a:t>
            </a:r>
          </a:p>
        </xdr:txBody>
      </xdr:sp>
      <xdr:sp macro="" textlink="Sheet1!L9">
        <xdr:nvSpPr>
          <xdr:cNvPr id="74" name="TextBox 73"/>
          <xdr:cNvSpPr txBox="1"/>
        </xdr:nvSpPr>
        <xdr:spPr>
          <a:xfrm>
            <a:off x="814448" y="1474059"/>
            <a:ext cx="1084039" cy="3790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F1B0DA-3B80-46CF-AB31-2D0BAFBCC3BD}" type="TxLink">
              <a:rPr lang="en-US" sz="1600" b="0" i="0" u="none" strike="noStrike">
                <a:solidFill>
                  <a:srgbClr val="000000"/>
                </a:solidFill>
                <a:latin typeface="Calibri"/>
                <a:ea typeface="Calibri"/>
                <a:cs typeface="Calibri"/>
              </a:rPr>
              <a:pPr/>
              <a:t>100</a:t>
            </a:fld>
            <a:endParaRPr lang="en-US" sz="1600"/>
          </a:p>
        </xdr:txBody>
      </xdr:sp>
    </xdr:grpSp>
    <xdr:clientData/>
  </xdr:twoCellAnchor>
  <xdr:twoCellAnchor>
    <xdr:from>
      <xdr:col>4</xdr:col>
      <xdr:colOff>162683</xdr:colOff>
      <xdr:row>4</xdr:row>
      <xdr:rowOff>113080</xdr:rowOff>
    </xdr:from>
    <xdr:to>
      <xdr:col>7</xdr:col>
      <xdr:colOff>427567</xdr:colOff>
      <xdr:row>7</xdr:row>
      <xdr:rowOff>177800</xdr:rowOff>
    </xdr:to>
    <xdr:grpSp>
      <xdr:nvGrpSpPr>
        <xdr:cNvPr id="75" name="Group 74"/>
        <xdr:cNvGrpSpPr/>
      </xdr:nvGrpSpPr>
      <xdr:grpSpPr>
        <a:xfrm>
          <a:off x="2601083" y="856030"/>
          <a:ext cx="2093684" cy="607645"/>
          <a:chOff x="-88194" y="1173480"/>
          <a:chExt cx="2183694" cy="784860"/>
        </a:xfrm>
      </xdr:grpSpPr>
      <xdr:sp macro="" textlink="">
        <xdr:nvSpPr>
          <xdr:cNvPr id="76" name="Rounded Rectangle 75"/>
          <xdr:cNvSpPr/>
        </xdr:nvSpPr>
        <xdr:spPr>
          <a:xfrm>
            <a:off x="0" y="1196340"/>
            <a:ext cx="2095500"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ounded Rectangle 76"/>
          <xdr:cNvSpPr/>
        </xdr:nvSpPr>
        <xdr:spPr>
          <a:xfrm>
            <a:off x="-88194" y="1173480"/>
            <a:ext cx="592866" cy="769856"/>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TextBox 77"/>
          <xdr:cNvSpPr txBox="1"/>
        </xdr:nvSpPr>
        <xdr:spPr>
          <a:xfrm>
            <a:off x="563881" y="1287780"/>
            <a:ext cx="1470659"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solidFill>
              </a:rPr>
              <a:t>AVERAGE</a:t>
            </a:r>
            <a:r>
              <a:rPr lang="en-US" sz="900" b="1" baseline="0">
                <a:solidFill>
                  <a:schemeClr val="accent1"/>
                </a:solidFill>
              </a:rPr>
              <a:t> PRODUCT COST</a:t>
            </a:r>
          </a:p>
          <a:p>
            <a:endParaRPr lang="en-US" sz="900" b="1">
              <a:solidFill>
                <a:schemeClr val="accent1"/>
              </a:solidFill>
            </a:endParaRPr>
          </a:p>
        </xdr:txBody>
      </xdr:sp>
      <xdr:sp macro="" textlink="Sheet1!L4">
        <xdr:nvSpPr>
          <xdr:cNvPr id="79" name="TextBox 78"/>
          <xdr:cNvSpPr txBox="1"/>
        </xdr:nvSpPr>
        <xdr:spPr>
          <a:xfrm>
            <a:off x="830581" y="1485900"/>
            <a:ext cx="1013459" cy="282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9758C7-74F8-4BBC-A68F-97F16E520D2F}" type="TxLink">
              <a:rPr lang="en-US" sz="1400" b="0" i="0" u="none" strike="noStrike">
                <a:solidFill>
                  <a:srgbClr val="000000"/>
                </a:solidFill>
                <a:latin typeface="Calibri"/>
                <a:ea typeface="Calibri"/>
                <a:cs typeface="Calibri"/>
              </a:rPr>
              <a:pPr/>
              <a:t>$254.04</a:t>
            </a:fld>
            <a:endParaRPr lang="en-US" sz="2000"/>
          </a:p>
        </xdr:txBody>
      </xdr:sp>
    </xdr:grpSp>
    <xdr:clientData/>
  </xdr:twoCellAnchor>
  <xdr:twoCellAnchor>
    <xdr:from>
      <xdr:col>8</xdr:col>
      <xdr:colOff>159811</xdr:colOff>
      <xdr:row>4</xdr:row>
      <xdr:rowOff>101603</xdr:rowOff>
    </xdr:from>
    <xdr:to>
      <xdr:col>11</xdr:col>
      <xdr:colOff>581025</xdr:colOff>
      <xdr:row>7</xdr:row>
      <xdr:rowOff>161925</xdr:rowOff>
    </xdr:to>
    <xdr:grpSp>
      <xdr:nvGrpSpPr>
        <xdr:cNvPr id="80" name="Group 79"/>
        <xdr:cNvGrpSpPr/>
      </xdr:nvGrpSpPr>
      <xdr:grpSpPr>
        <a:xfrm>
          <a:off x="5036611" y="844553"/>
          <a:ext cx="2250014" cy="603247"/>
          <a:chOff x="-16828" y="1195905"/>
          <a:chExt cx="2112328" cy="769856"/>
        </a:xfrm>
      </xdr:grpSpPr>
      <xdr:sp macro="" textlink="">
        <xdr:nvSpPr>
          <xdr:cNvPr id="81" name="Rounded Rectangle 80"/>
          <xdr:cNvSpPr/>
        </xdr:nvSpPr>
        <xdr:spPr>
          <a:xfrm>
            <a:off x="0" y="1196340"/>
            <a:ext cx="2095500"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ounded Rectangle 81"/>
          <xdr:cNvSpPr/>
        </xdr:nvSpPr>
        <xdr:spPr>
          <a:xfrm>
            <a:off x="-16828" y="1195905"/>
            <a:ext cx="481812" cy="769856"/>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xdr:cNvSpPr txBox="1"/>
        </xdr:nvSpPr>
        <xdr:spPr>
          <a:xfrm>
            <a:off x="541814" y="1241774"/>
            <a:ext cx="1440180" cy="701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1"/>
                </a:solidFill>
              </a:rPr>
              <a:t>TOTAL</a:t>
            </a:r>
            <a:r>
              <a:rPr lang="en-US" sz="1000" b="1" baseline="0">
                <a:solidFill>
                  <a:schemeClr val="accent1"/>
                </a:solidFill>
              </a:rPr>
              <a:t> STOCK AVAILABLE</a:t>
            </a:r>
            <a:endParaRPr lang="en-US" sz="1000" b="1">
              <a:solidFill>
                <a:schemeClr val="accent1"/>
              </a:solidFill>
            </a:endParaRPr>
          </a:p>
        </xdr:txBody>
      </xdr:sp>
      <xdr:sp macro="" textlink="Sheet1!L7">
        <xdr:nvSpPr>
          <xdr:cNvPr id="84" name="TextBox 83"/>
          <xdr:cNvSpPr txBox="1"/>
        </xdr:nvSpPr>
        <xdr:spPr>
          <a:xfrm>
            <a:off x="642544" y="1487405"/>
            <a:ext cx="13106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4B52A7-D1B7-4067-9E8D-802A87EA1F51}" type="TxLink">
              <a:rPr lang="en-US" sz="1400" b="0" i="0" u="none" strike="noStrike">
                <a:solidFill>
                  <a:srgbClr val="000000"/>
                </a:solidFill>
                <a:latin typeface="Calibri"/>
                <a:ea typeface="Calibri"/>
                <a:cs typeface="Calibri"/>
              </a:rPr>
              <a:pPr/>
              <a:t>27357.00</a:t>
            </a:fld>
            <a:endParaRPr lang="en-US" sz="2000"/>
          </a:p>
        </xdr:txBody>
      </xdr:sp>
    </xdr:grpSp>
    <xdr:clientData/>
  </xdr:twoCellAnchor>
  <xdr:twoCellAnchor>
    <xdr:from>
      <xdr:col>12</xdr:col>
      <xdr:colOff>278038</xdr:colOff>
      <xdr:row>4</xdr:row>
      <xdr:rowOff>75194</xdr:rowOff>
    </xdr:from>
    <xdr:to>
      <xdr:col>16</xdr:col>
      <xdr:colOff>552450</xdr:colOff>
      <xdr:row>7</xdr:row>
      <xdr:rowOff>156474</xdr:rowOff>
    </xdr:to>
    <xdr:grpSp>
      <xdr:nvGrpSpPr>
        <xdr:cNvPr id="85" name="Group 84"/>
        <xdr:cNvGrpSpPr/>
      </xdr:nvGrpSpPr>
      <xdr:grpSpPr>
        <a:xfrm>
          <a:off x="7593238" y="818144"/>
          <a:ext cx="2712812" cy="624205"/>
          <a:chOff x="-60216" y="1185743"/>
          <a:chExt cx="2155716" cy="772597"/>
        </a:xfrm>
      </xdr:grpSpPr>
      <xdr:sp macro="" textlink="">
        <xdr:nvSpPr>
          <xdr:cNvPr id="86" name="Rounded Rectangle 85"/>
          <xdr:cNvSpPr/>
        </xdr:nvSpPr>
        <xdr:spPr>
          <a:xfrm>
            <a:off x="0" y="1196340"/>
            <a:ext cx="2095500"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ounded Rectangle 86"/>
          <xdr:cNvSpPr/>
        </xdr:nvSpPr>
        <xdr:spPr>
          <a:xfrm>
            <a:off x="-60216" y="1185743"/>
            <a:ext cx="564887" cy="769856"/>
          </a:xfrm>
          <a:prstGeom prst="round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TextBox 87"/>
          <xdr:cNvSpPr txBox="1"/>
        </xdr:nvSpPr>
        <xdr:spPr>
          <a:xfrm>
            <a:off x="624839" y="1234439"/>
            <a:ext cx="1458038" cy="6248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1"/>
                </a:solidFill>
              </a:rPr>
              <a:t>HIGHEST PRODUCT COST</a:t>
            </a:r>
          </a:p>
        </xdr:txBody>
      </xdr:sp>
      <xdr:sp macro="" textlink="Sheet1!L5">
        <xdr:nvSpPr>
          <xdr:cNvPr id="89" name="TextBox 88"/>
          <xdr:cNvSpPr txBox="1"/>
        </xdr:nvSpPr>
        <xdr:spPr>
          <a:xfrm>
            <a:off x="891539" y="1485900"/>
            <a:ext cx="1093637" cy="282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951360-EFF6-4384-ABC6-52051BBA4F73}" type="TxLink">
              <a:rPr lang="en-US" sz="1600" b="0" i="0" u="none" strike="noStrike">
                <a:solidFill>
                  <a:srgbClr val="000000"/>
                </a:solidFill>
                <a:latin typeface="Calibri"/>
                <a:ea typeface="Calibri"/>
                <a:cs typeface="Calibri"/>
              </a:rPr>
              <a:pPr/>
              <a:t>$495.72</a:t>
            </a:fld>
            <a:endParaRPr lang="en-US" sz="2400"/>
          </a:p>
        </xdr:txBody>
      </xdr:sp>
    </xdr:grpSp>
    <xdr:clientData/>
  </xdr:twoCellAnchor>
  <xdr:twoCellAnchor>
    <xdr:from>
      <xdr:col>0</xdr:col>
      <xdr:colOff>2</xdr:colOff>
      <xdr:row>0</xdr:row>
      <xdr:rowOff>1</xdr:rowOff>
    </xdr:from>
    <xdr:to>
      <xdr:col>18</xdr:col>
      <xdr:colOff>152400</xdr:colOff>
      <xdr:row>3</xdr:row>
      <xdr:rowOff>57150</xdr:rowOff>
    </xdr:to>
    <xdr:sp macro="" textlink="">
      <xdr:nvSpPr>
        <xdr:cNvPr id="91" name="Rounded Rectangle 90"/>
        <xdr:cNvSpPr/>
      </xdr:nvSpPr>
      <xdr:spPr>
        <a:xfrm>
          <a:off x="2" y="1"/>
          <a:ext cx="11125198" cy="619124"/>
        </a:xfrm>
        <a:prstGeom prst="roundRect">
          <a:avLst>
            <a:gd name="adj" fmla="val 2778"/>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123826</xdr:colOff>
      <xdr:row>0</xdr:row>
      <xdr:rowOff>0</xdr:rowOff>
    </xdr:from>
    <xdr:to>
      <xdr:col>13</xdr:col>
      <xdr:colOff>306706</xdr:colOff>
      <xdr:row>3</xdr:row>
      <xdr:rowOff>89949</xdr:rowOff>
    </xdr:to>
    <xdr:pic>
      <xdr:nvPicPr>
        <xdr:cNvPr id="24" name="Picture 23"/>
        <xdr:cNvPicPr>
          <a:picLocks noChangeAspect="1"/>
        </xdr:cNvPicPr>
      </xdr:nvPicPr>
      <xdr:blipFill>
        <a:blip xmlns:r="http://schemas.openxmlformats.org/officeDocument/2006/relationships" r:embed="rId5"/>
        <a:stretch>
          <a:fillRect/>
        </a:stretch>
      </xdr:blipFill>
      <xdr:spPr>
        <a:xfrm>
          <a:off x="733426" y="0"/>
          <a:ext cx="7498080" cy="651924"/>
        </a:xfrm>
        <a:prstGeom prst="rect">
          <a:avLst/>
        </a:prstGeom>
      </xdr:spPr>
    </xdr:pic>
    <xdr:clientData/>
  </xdr:twoCellAnchor>
  <xdr:twoCellAnchor editAs="oneCell">
    <xdr:from>
      <xdr:col>0</xdr:col>
      <xdr:colOff>219076</xdr:colOff>
      <xdr:row>5</xdr:row>
      <xdr:rowOff>19050</xdr:rowOff>
    </xdr:from>
    <xdr:to>
      <xdr:col>1</xdr:col>
      <xdr:colOff>79242</xdr:colOff>
      <xdr:row>7</xdr:row>
      <xdr:rowOff>19050</xdr:rowOff>
    </xdr:to>
    <xdr:pic>
      <xdr:nvPicPr>
        <xdr:cNvPr id="8" name="Picture 7" descr="cube in perspective | Free SVG"/>
        <xdr:cNvPicPr>
          <a:picLocks noChangeAspect="1"/>
        </xdr:cNvPicPr>
      </xdr:nvPicPr>
      <xdr:blipFill>
        <a:blip xmlns:r="http://schemas.openxmlformats.org/officeDocument/2006/relationships" r:embed="rId6" cstate="print">
          <a:duotone>
            <a:prstClr val="black"/>
            <a:schemeClr val="bg1">
              <a:tint val="45000"/>
              <a:satMod val="400000"/>
            </a:schemeClr>
          </a:duotone>
          <a:extLst>
            <a:ext uri="{BEBA8EAE-BF5A-486C-A8C5-ECC9F3942E4B}">
              <a14:imgProps xmlns:a14="http://schemas.microsoft.com/office/drawing/2010/main">
                <a14:imgLayer r:embed="rId7">
                  <a14:imgEffect>
                    <a14:colorTemperature colorTemp="4700"/>
                  </a14:imgEffect>
                  <a14:imgEffect>
                    <a14:saturation sat="33000"/>
                  </a14:imgEffect>
                </a14:imgLayer>
              </a14:imgProps>
            </a:ext>
            <a:ext uri="{28A0092B-C50C-407E-A947-70E740481C1C}">
              <a14:useLocalDpi xmlns:a14="http://schemas.microsoft.com/office/drawing/2010/main" val="0"/>
            </a:ext>
          </a:extLst>
        </a:blip>
        <a:stretch>
          <a:fillRect/>
        </a:stretch>
      </xdr:blipFill>
      <xdr:spPr>
        <a:xfrm>
          <a:off x="219076" y="942975"/>
          <a:ext cx="469766" cy="361950"/>
        </a:xfrm>
        <a:prstGeom prst="rect">
          <a:avLst/>
        </a:prstGeom>
        <a:effectLst>
          <a:outerShdw blurRad="50800" dist="38100" dir="8100000" algn="tr" rotWithShape="0">
            <a:prstClr val="black">
              <a:alpha val="40000"/>
            </a:prstClr>
          </a:outerShdw>
        </a:effectLst>
      </xdr:spPr>
    </xdr:pic>
    <xdr:clientData/>
  </xdr:twoCellAnchor>
  <xdr:twoCellAnchor editAs="oneCell">
    <xdr:from>
      <xdr:col>4</xdr:col>
      <xdr:colOff>238126</xdr:colOff>
      <xdr:row>5</xdr:row>
      <xdr:rowOff>28576</xdr:rowOff>
    </xdr:from>
    <xdr:to>
      <xdr:col>5</xdr:col>
      <xdr:colOff>47626</xdr:colOff>
      <xdr:row>7</xdr:row>
      <xdr:rowOff>85726</xdr:rowOff>
    </xdr:to>
    <xdr:pic>
      <xdr:nvPicPr>
        <xdr:cNvPr id="9" name="Picture 8" descr="Clipart - &lt;strong&gt;Calculator&lt;/strong&gt; &lt;strong&gt;Icon&lt;/strong&gt;"/>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76526" y="952501"/>
          <a:ext cx="419100" cy="419100"/>
        </a:xfrm>
        <a:prstGeom prst="rect">
          <a:avLst/>
        </a:prstGeom>
      </xdr:spPr>
    </xdr:pic>
    <xdr:clientData/>
  </xdr:twoCellAnchor>
  <xdr:twoCellAnchor editAs="oneCell">
    <xdr:from>
      <xdr:col>8</xdr:col>
      <xdr:colOff>142875</xdr:colOff>
      <xdr:row>4</xdr:row>
      <xdr:rowOff>152400</xdr:rowOff>
    </xdr:from>
    <xdr:to>
      <xdr:col>9</xdr:col>
      <xdr:colOff>57150</xdr:colOff>
      <xdr:row>7</xdr:row>
      <xdr:rowOff>133350</xdr:rowOff>
    </xdr:to>
    <xdr:pic>
      <xdr:nvPicPr>
        <xdr:cNvPr id="16" name="Picture 15" descr="&lt;strong&gt;Warehouse&lt;/strong&gt; Photos Transparent HQ &lt;strong&gt;PNG&lt;/strong&gt; Download | FreePNGIm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19675" y="895350"/>
          <a:ext cx="523875" cy="523875"/>
        </a:xfrm>
        <a:prstGeom prst="rect">
          <a:avLst/>
        </a:prstGeom>
      </xdr:spPr>
    </xdr:pic>
    <xdr:clientData/>
  </xdr:twoCellAnchor>
  <xdr:twoCellAnchor editAs="oneCell">
    <xdr:from>
      <xdr:col>12</xdr:col>
      <xdr:colOff>377714</xdr:colOff>
      <xdr:row>5</xdr:row>
      <xdr:rowOff>28576</xdr:rowOff>
    </xdr:from>
    <xdr:to>
      <xdr:col>13</xdr:col>
      <xdr:colOff>205607</xdr:colOff>
      <xdr:row>7</xdr:row>
      <xdr:rowOff>9526</xdr:rowOff>
    </xdr:to>
    <xdr:pic>
      <xdr:nvPicPr>
        <xdr:cNvPr id="17" name="Picture 16" descr="Queen &lt;strong&gt;crown&lt;/strong&gt; &lt;strong&gt;icon&lt;/strong&gt;, SVG and &lt;strong&gt;PNG&lt;/strong&gt; | Game-&lt;strong&gt;icons&lt;/strong&gt;.net"/>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692914" y="952501"/>
          <a:ext cx="437493" cy="342900"/>
        </a:xfrm>
        <a:prstGeom prst="rect">
          <a:avLst/>
        </a:prstGeom>
      </xdr:spPr>
    </xdr:pic>
    <xdr:clientData/>
  </xdr:twoCellAnchor>
  <xdr:twoCellAnchor>
    <xdr:from>
      <xdr:col>5</xdr:col>
      <xdr:colOff>333376</xdr:colOff>
      <xdr:row>8</xdr:row>
      <xdr:rowOff>95250</xdr:rowOff>
    </xdr:from>
    <xdr:to>
      <xdr:col>9</xdr:col>
      <xdr:colOff>180976</xdr:colOff>
      <xdr:row>9</xdr:row>
      <xdr:rowOff>123825</xdr:rowOff>
    </xdr:to>
    <xdr:sp macro="" textlink="">
      <xdr:nvSpPr>
        <xdr:cNvPr id="18" name="TextBox 17"/>
        <xdr:cNvSpPr txBox="1"/>
      </xdr:nvSpPr>
      <xdr:spPr>
        <a:xfrm>
          <a:off x="3381376" y="1562100"/>
          <a:ext cx="22860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r>
            <a:rPr lang="en-US" sz="1100" baseline="0"/>
            <a:t> OF COST FOR PRODUCTS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99.349948379633" createdVersion="6" refreshedVersion="6" minRefreshableVersion="3" recordCount="100">
  <cacheSource type="worksheet">
    <worksheetSource name="RAW_DATA_DB"/>
  </cacheSource>
  <cacheFields count="8">
    <cacheField name="Product_ID" numFmtId="0">
      <sharedItems containsSemiMixedTypes="0" containsString="0" containsNumber="1" containsInteger="1" minValue="0" maxValue="99"/>
    </cacheField>
    <cacheField name="Product_Name" numFmtId="0">
      <sharedItems/>
    </cacheField>
    <cacheField name="Category" numFmtId="0">
      <sharedItems count="5">
        <s v="Electronics"/>
        <s v="Clothing"/>
        <s v="Beauty"/>
        <s v="Home"/>
        <s v="Sports"/>
      </sharedItems>
    </cacheField>
    <cacheField name="Sub_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164">
      <sharedItems containsSemiMixedTypes="0" containsString="0" containsNumber="1" minValue="17.309999999999999" maxValue="495.72"/>
    </cacheField>
    <cacheField name="Stock" numFmtId="2">
      <sharedItems containsSemiMixedTypes="0" containsString="0" containsNumber="1" containsInteger="1" minValue="57" maxValue="496"/>
    </cacheField>
    <cacheField name="Stock_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0"/>
    <s v="Brother Laser Printer"/>
    <x v="0"/>
    <x v="0"/>
    <s v="Hunt Inc"/>
    <n v="112.42"/>
    <n v="416"/>
    <s v="Available"/>
  </r>
  <r>
    <n v="1"/>
    <s v="Men's Graphic T-Shirt"/>
    <x v="1"/>
    <x v="1"/>
    <s v="Terry-Moore"/>
    <n v="342.56"/>
    <n v="181"/>
    <s v="Available"/>
  </r>
  <r>
    <n v="2"/>
    <s v="Women's Casual Hoodie"/>
    <x v="1"/>
    <x v="2"/>
    <s v="Sims Inc"/>
    <n v="254.04"/>
    <n v="352"/>
    <s v="Available"/>
  </r>
  <r>
    <n v="3"/>
    <s v="Men's Running Jacket"/>
    <x v="1"/>
    <x v="2"/>
    <s v="Pineda Ltd"/>
    <n v="364.67"/>
    <n v="452"/>
    <s v="Available"/>
  </r>
  <r>
    <n v="4"/>
    <s v="Women's Yoga Pants"/>
    <x v="1"/>
    <x v="3"/>
    <s v="Gonzales-Davis"/>
    <n v="306.45999999999998"/>
    <n v="487"/>
    <s v="Available"/>
  </r>
  <r>
    <n v="5"/>
    <s v="Men's Leather Belt"/>
    <x v="1"/>
    <x v="4"/>
    <s v="Baldwin, Garza and Gonzalez"/>
    <n v="261"/>
    <n v="59"/>
    <s v=" Low Stock"/>
  </r>
  <r>
    <n v="6"/>
    <s v="Herbal Face Moisturizer"/>
    <x v="2"/>
    <x v="5"/>
    <s v="Davidson PLC"/>
    <n v="312.8"/>
    <n v="350"/>
    <s v="Available"/>
  </r>
  <r>
    <n v="7"/>
    <s v="LED Table Lamp"/>
    <x v="3"/>
    <x v="6"/>
    <s v="Harrell LLC"/>
    <n v="218.86"/>
    <n v="170"/>
    <s v="Available"/>
  </r>
  <r>
    <n v="8"/>
    <s v="Wireless Bluetooth Earbuds"/>
    <x v="0"/>
    <x v="7"/>
    <s v="Perez-Johnston"/>
    <n v="439.07"/>
    <n v="142"/>
    <s v="Available"/>
  </r>
  <r>
    <n v="9"/>
    <s v="Adjustable Dumbbell Set"/>
    <x v="4"/>
    <x v="8"/>
    <s v="Hill PLC"/>
    <n v="495.72"/>
    <n v="323"/>
    <s v="Available"/>
  </r>
  <r>
    <n v="10"/>
    <s v="Ceramic Kitchen Bowl Set"/>
    <x v="3"/>
    <x v="9"/>
    <s v="Hamilton Group"/>
    <n v="298.86"/>
    <n v="308"/>
    <s v="Available"/>
  </r>
  <r>
    <n v="11"/>
    <s v="HD Smart TV Stick"/>
    <x v="0"/>
    <x v="4"/>
    <s v="Gibson, Hobbs and Weaver"/>
    <n v="449.4"/>
    <n v="276"/>
    <s v="Available"/>
  </r>
  <r>
    <n v="12"/>
    <s v="Hair Strengthening Shampoo"/>
    <x v="2"/>
    <x v="10"/>
    <s v="Rice LLC"/>
    <n v="115.82"/>
    <n v="460"/>
    <s v="Available"/>
  </r>
  <r>
    <n v="13"/>
    <s v="USB-C Fast Charger"/>
    <x v="0"/>
    <x v="4"/>
    <s v="Dawson-Perkins"/>
    <n v="242.23"/>
    <n v="453"/>
    <s v="Available"/>
  </r>
  <r>
    <n v="14"/>
    <s v="Decorative Wall Mirror"/>
    <x v="3"/>
    <x v="11"/>
    <s v="Luna, Anderson and Bowman"/>
    <n v="48.01"/>
    <n v="439"/>
    <s v="Available"/>
  </r>
  <r>
    <n v="15"/>
    <s v="4K Home Projector"/>
    <x v="0"/>
    <x v="12"/>
    <s v="Thomas LLC"/>
    <n v="465.34"/>
    <n v="301"/>
    <s v="Available"/>
  </r>
  <r>
    <n v="16"/>
    <s v="Beard Grooming Kit"/>
    <x v="2"/>
    <x v="13"/>
    <s v="Erickson-Green"/>
    <n v="337.42"/>
    <n v="256"/>
    <s v="Available"/>
  </r>
  <r>
    <n v="17"/>
    <s v="Soccer Training Cone Set"/>
    <x v="4"/>
    <x v="4"/>
    <s v="Ford, Murphy and Wilson"/>
    <n v="144.53"/>
    <n v="367"/>
    <s v="Available"/>
  </r>
  <r>
    <n v="18"/>
    <s v="Women's Denim Jeans"/>
    <x v="1"/>
    <x v="3"/>
    <s v="Guerra-Hendrix"/>
    <n v="254.04"/>
    <n v="343"/>
    <s v="Available"/>
  </r>
  <r>
    <n v="19"/>
    <s v="Knee Support Brace"/>
    <x v="4"/>
    <x v="14"/>
    <s v="May-Reese"/>
    <n v="21.34"/>
    <n v="65"/>
    <s v=" Low Stock"/>
  </r>
  <r>
    <n v="20"/>
    <s v="Outdoor Sports Water Bottle"/>
    <x v="4"/>
    <x v="4"/>
    <s v="Soto-Ellis"/>
    <n v="131.51"/>
    <n v="276"/>
    <s v="Available"/>
  </r>
  <r>
    <n v="21"/>
    <s v="Multi-Purpose Storage Box"/>
    <x v="3"/>
    <x v="15"/>
    <s v="Gardner-Montes"/>
    <n v="123.46"/>
    <n v="76"/>
    <s v=" Low Stock"/>
  </r>
  <r>
    <n v="22"/>
    <s v="Carbon Fiber Tennis Racket"/>
    <x v="4"/>
    <x v="14"/>
    <s v="Flores, Pineda and Rodriguez"/>
    <n v="484.62"/>
    <n v="432"/>
    <s v="Available"/>
  </r>
  <r>
    <n v="23"/>
    <s v="Men's Formal Shirt"/>
    <x v="1"/>
    <x v="1"/>
    <s v="Moon, Mora and Santos"/>
    <n v="254.04"/>
    <n v="360"/>
    <s v="Available"/>
  </r>
  <r>
    <n v="24"/>
    <s v="Foldable Camping Chair"/>
    <x v="4"/>
    <x v="16"/>
    <s v="Cook Ltd"/>
    <n v="166.06"/>
    <n v="340"/>
    <s v="Available"/>
  </r>
  <r>
    <n v="25"/>
    <s v="Women's Scarf Set"/>
    <x v="1"/>
    <x v="4"/>
    <s v="Brown and Sons"/>
    <n v="174.02"/>
    <n v="268"/>
    <s v="Available"/>
  </r>
  <r>
    <n v="26"/>
    <s v="Wireless Bluetooth Speaker"/>
    <x v="0"/>
    <x v="7"/>
    <s v="Reed-Schmidt"/>
    <n v="322.41000000000003"/>
    <n v="213"/>
    <s v="Available"/>
  </r>
  <r>
    <n v="27"/>
    <s v="Decorative Floor Vase"/>
    <x v="3"/>
    <x v="11"/>
    <s v="Khan, Jones and Paul"/>
    <n v="254.04"/>
    <n v="378"/>
    <s v="Available"/>
  </r>
  <r>
    <n v="28"/>
    <s v="Sports Stopwatch Timer"/>
    <x v="4"/>
    <x v="4"/>
    <s v="Burns-Hansen"/>
    <n v="38.76"/>
    <n v="137"/>
    <s v="Available"/>
  </r>
  <r>
    <n v="29"/>
    <s v="Fabric Sofa Throw Blanket"/>
    <x v="3"/>
    <x v="11"/>
    <s v="Hoffman Group"/>
    <n v="218.48"/>
    <n v="276"/>
    <s v="Available"/>
  </r>
  <r>
    <n v="30"/>
    <s v="Stainless Steel Cutlery Set"/>
    <x v="3"/>
    <x v="9"/>
    <s v="Stevens, Fernandez and Martin"/>
    <n v="19.52"/>
    <n v="57"/>
    <s v=" Low Stock"/>
  </r>
  <r>
    <n v="31"/>
    <s v="Basketball"/>
    <x v="4"/>
    <x v="17"/>
    <s v="Nolan-Snow"/>
    <n v="204.39"/>
    <n v="281"/>
    <s v="Available"/>
  </r>
  <r>
    <n v="32"/>
    <s v="Vitamin C Face Serum"/>
    <x v="2"/>
    <x v="5"/>
    <s v="Griffin Ltd"/>
    <n v="283.83"/>
    <n v="244"/>
    <s v="Available"/>
  </r>
  <r>
    <n v="33"/>
    <s v="Modern Wall Clock"/>
    <x v="3"/>
    <x v="11"/>
    <s v="Weiss-Watson"/>
    <n v="179.77"/>
    <n v="305"/>
    <s v="Available"/>
  </r>
  <r>
    <n v="34"/>
    <s v="Gaming Mechanical Keyboard"/>
    <x v="0"/>
    <x v="0"/>
    <s v="Lucero LLC"/>
    <n v="419.28"/>
    <n v="86"/>
    <s v=" Low Stock"/>
  </r>
  <r>
    <n v="35"/>
    <s v="Bedroom Table Lamp"/>
    <x v="3"/>
    <x v="6"/>
    <s v="Jones LLC"/>
    <n v="382.22"/>
    <n v="329"/>
    <s v="Available"/>
  </r>
  <r>
    <n v="36"/>
    <s v="Women's Summer Dress"/>
    <x v="1"/>
    <x v="1"/>
    <s v="Smith-Mills"/>
    <n v="223.43"/>
    <n v="154"/>
    <s v="Available"/>
  </r>
  <r>
    <n v="37"/>
    <s v="Men's Casual Sneakers"/>
    <x v="1"/>
    <x v="18"/>
    <s v="Hogan-Lee"/>
    <n v="353.47"/>
    <n v="214"/>
    <s v="Available"/>
  </r>
  <r>
    <n v="38"/>
    <s v="Sports Water Hydration Pack"/>
    <x v="4"/>
    <x v="16"/>
    <s v="Sims-Smith"/>
    <n v="135.61000000000001"/>
    <n v="394"/>
    <s v="Available"/>
  </r>
  <r>
    <n v="39"/>
    <s v="Portable Power Bank"/>
    <x v="0"/>
    <x v="19"/>
    <s v="Cummings and Sons"/>
    <n v="326.06"/>
    <n v="301"/>
    <s v="Available"/>
  </r>
  <r>
    <n v="40"/>
    <s v="Noise-Canceling Headphones"/>
    <x v="0"/>
    <x v="7"/>
    <s v="Taylor-Hart"/>
    <n v="38.520000000000003"/>
    <n v="378"/>
    <s v="Available"/>
  </r>
  <r>
    <n v="41"/>
    <s v="Yoga Exercise Mat"/>
    <x v="4"/>
    <x v="8"/>
    <s v="Carroll, Long and Mendoza"/>
    <n v="313.26"/>
    <n v="369"/>
    <s v="Available"/>
  </r>
  <r>
    <n v="42"/>
    <s v="Smart Home WiFi Camera"/>
    <x v="0"/>
    <x v="4"/>
    <s v="Holmes LLC"/>
    <n v="450.71"/>
    <n v="389"/>
    <s v="Available"/>
  </r>
  <r>
    <n v="43"/>
    <s v="USB External Hard Drive"/>
    <x v="0"/>
    <x v="0"/>
    <s v="Robinson Inc"/>
    <n v="253.33"/>
    <n v="266"/>
    <s v="Available"/>
  </r>
  <r>
    <n v="44"/>
    <s v="Adjustable Jump Rope"/>
    <x v="4"/>
    <x v="8"/>
    <s v="Cox Inc"/>
    <n v="167.12"/>
    <n v="316"/>
    <s v="Available"/>
  </r>
  <r>
    <n v="45"/>
    <s v="High-Grip Football"/>
    <x v="4"/>
    <x v="17"/>
    <s v="Bridges, Banks and Cummings"/>
    <n v="318.91000000000003"/>
    <n v="114"/>
    <s v="Available"/>
  </r>
  <r>
    <n v="46"/>
    <s v="Men's Winter Jacket"/>
    <x v="1"/>
    <x v="2"/>
    <s v="Kelly, Smith and Perez"/>
    <n v="167.34"/>
    <n v="296"/>
    <s v="Available"/>
  </r>
  <r>
    <n v="47"/>
    <s v="Makeup Brush Set"/>
    <x v="2"/>
    <x v="20"/>
    <s v="Cook Inc"/>
    <n v="254.04"/>
    <n v="431"/>
    <s v="Available"/>
  </r>
  <r>
    <n v="48"/>
    <s v="Car Dashboard Phone Holder"/>
    <x v="0"/>
    <x v="4"/>
    <s v="Byrd, Stewart and Valdez"/>
    <n v="177.98"/>
    <n v="103"/>
    <s v="Available"/>
  </r>
  <r>
    <n v="49"/>
    <s v="Men's Roll-On Perfume"/>
    <x v="2"/>
    <x v="21"/>
    <s v="Sullivan and Sons"/>
    <n v="43.29"/>
    <n v="267"/>
    <s v="Available"/>
  </r>
  <r>
    <n v="50"/>
    <s v="Boxing Hand Wraps"/>
    <x v="4"/>
    <x v="8"/>
    <s v="Smith-King"/>
    <n v="190.29"/>
    <n v="260"/>
    <s v="Available"/>
  </r>
  <r>
    <n v="51"/>
    <s v="HDMI Cable – 2m"/>
    <x v="0"/>
    <x v="4"/>
    <s v="Bautista, Green and Hale"/>
    <n v="88.49"/>
    <n v="246"/>
    <s v="Available"/>
  </r>
  <r>
    <n v="52"/>
    <s v="Rugby Ball"/>
    <x v="4"/>
    <x v="17"/>
    <s v="Harris Inc"/>
    <n v="212.26"/>
    <n v="82"/>
    <s v=" Low Stock"/>
  </r>
  <r>
    <n v="53"/>
    <s v="Men's Track Pants"/>
    <x v="1"/>
    <x v="3"/>
    <s v="Hamilton, Woods and Walker"/>
    <n v="386.56"/>
    <n v="125"/>
    <s v="Available"/>
  </r>
  <r>
    <n v="54"/>
    <s v="Sports Stopwatch Pro"/>
    <x v="4"/>
    <x v="4"/>
    <s v="Thompson-French"/>
    <n v="434.84"/>
    <n v="185"/>
    <s v="Available"/>
  </r>
  <r>
    <n v="55"/>
    <s v="Ceramic Plant Pot"/>
    <x v="3"/>
    <x v="11"/>
    <s v="Hatfield, Baird and Torres"/>
    <n v="81.75"/>
    <n v="276"/>
    <s v="Available"/>
  </r>
  <r>
    <n v="56"/>
    <s v="Premium Blanket Throw"/>
    <x v="3"/>
    <x v="11"/>
    <s v="Hernandez, Kennedy and Porter"/>
    <n v="461.47"/>
    <n v="190"/>
    <s v="Available"/>
  </r>
  <r>
    <n v="57"/>
    <s v="Foam Roller"/>
    <x v="4"/>
    <x v="8"/>
    <s v="Atkinson, Camacho and Oliver"/>
    <n v="30.62"/>
    <n v="138"/>
    <s v="Available"/>
  </r>
  <r>
    <n v="58"/>
    <s v="Womens Cotton Scarf"/>
    <x v="1"/>
    <x v="4"/>
    <s v="Shepherd-Gould"/>
    <n v="113.83"/>
    <n v="485"/>
    <s v="Available"/>
  </r>
  <r>
    <n v="59"/>
    <s v="Men's Hair Styling Gel"/>
    <x v="2"/>
    <x v="10"/>
    <s v="Cline-Mccarthy"/>
    <n v="17.309999999999999"/>
    <n v="399"/>
    <s v="Available"/>
  </r>
  <r>
    <n v="60"/>
    <s v="Luxury Perfume Spray"/>
    <x v="2"/>
    <x v="21"/>
    <s v="Gibson, Green and Lopez"/>
    <n v="482.75"/>
    <n v="444"/>
    <s v="Available"/>
  </r>
  <r>
    <n v="61"/>
    <s v="Tennis Ball 3-Pack"/>
    <x v="4"/>
    <x v="14"/>
    <s v="Lopez LLC"/>
    <n v="103.45"/>
    <n v="465"/>
    <s v="Available"/>
  </r>
  <r>
    <n v="62"/>
    <s v="Laptop Cooling Pad"/>
    <x v="0"/>
    <x v="0"/>
    <s v="Murray, Gould and Ware"/>
    <n v="86.42"/>
    <n v="222"/>
    <s v="Available"/>
  </r>
  <r>
    <n v="63"/>
    <s v="Organic Sunscreen Lotion"/>
    <x v="2"/>
    <x v="5"/>
    <s v="Anderson-Riley"/>
    <n v="266.86"/>
    <n v="458"/>
    <s v="Available"/>
  </r>
  <r>
    <n v="64"/>
    <s v="Matte Lipstick Set"/>
    <x v="2"/>
    <x v="20"/>
    <s v="Zhang Inc"/>
    <n v="299.11"/>
    <n v="118"/>
    <s v="Available"/>
  </r>
  <r>
    <n v="65"/>
    <s v="Adjustable Dumbbells 20kg"/>
    <x v="4"/>
    <x v="8"/>
    <s v="Montgomery, Benton and Miller"/>
    <n v="240.63"/>
    <n v="423"/>
    <s v="Available"/>
  </r>
  <r>
    <n v="66"/>
    <s v="Women's Hair Dryer Brush"/>
    <x v="2"/>
    <x v="10"/>
    <s v="Torres, Spencer and Potter"/>
    <n v="340.39"/>
    <n v="177"/>
    <s v="Available"/>
  </r>
  <r>
    <n v="67"/>
    <s v="Smart LED Light Strip"/>
    <x v="0"/>
    <x v="4"/>
    <s v="Flores-Davis"/>
    <n v="349.17"/>
    <n v="476"/>
    <s v="Available"/>
  </r>
  <r>
    <n v="68"/>
    <s v="Wooden Nightstand"/>
    <x v="3"/>
    <x v="22"/>
    <s v="Wolfe, Ross and Hester"/>
    <n v="243.7"/>
    <n v="130"/>
    <s v="Available"/>
  </r>
  <r>
    <n v="69"/>
    <s v="Men's Sports Shorts"/>
    <x v="1"/>
    <x v="3"/>
    <s v="Fitzpatrick Ltd"/>
    <n v="218.22"/>
    <n v="224"/>
    <s v="Available"/>
  </r>
  <r>
    <n v="70"/>
    <s v="Kitchen Storage Rack"/>
    <x v="3"/>
    <x v="15"/>
    <s v="Duran Group"/>
    <n v="138.05000000000001"/>
    <n v="89"/>
    <s v=" Low Stock"/>
  </r>
  <r>
    <n v="71"/>
    <s v="Hair Repair Oil Treatment"/>
    <x v="2"/>
    <x v="10"/>
    <s v="Hopkins Ltd"/>
    <n v="214.32"/>
    <n v="383"/>
    <s v="Available"/>
  </r>
  <r>
    <n v="72"/>
    <s v="Professional Jump Rope"/>
    <x v="4"/>
    <x v="8"/>
    <s v="Davis PLC"/>
    <n v="477.61"/>
    <n v="300"/>
    <s v="Available"/>
  </r>
  <r>
    <n v="73"/>
    <s v="Shin Guards – Adult"/>
    <x v="4"/>
    <x v="17"/>
    <s v="French Ltd"/>
    <n v="107.06"/>
    <n v="359"/>
    <s v="Available"/>
  </r>
  <r>
    <n v="74"/>
    <s v="Bluetooth Car Audio System"/>
    <x v="0"/>
    <x v="7"/>
    <s v="Bruce-Bowen"/>
    <n v="403.71"/>
    <n v="159"/>
    <s v="Available"/>
  </r>
  <r>
    <n v="75"/>
    <s v="Women's Ankle Boots"/>
    <x v="1"/>
    <x v="18"/>
    <s v="Poole PLC"/>
    <n v="158.13999999999999"/>
    <n v="82"/>
    <s v=" Low Stock"/>
  </r>
  <r>
    <n v="76"/>
    <s v="Wireless Mouse"/>
    <x v="0"/>
    <x v="0"/>
    <s v="Larson Ltd"/>
    <n v="392.89"/>
    <n v="320"/>
    <s v="Available"/>
  </r>
  <r>
    <n v="77"/>
    <s v="WiFi Mesh Router"/>
    <x v="0"/>
    <x v="12"/>
    <s v="White, Reeves and Woods"/>
    <n v="480.9"/>
    <n v="104"/>
    <s v="Available"/>
  </r>
  <r>
    <n v="78"/>
    <s v="Essential Oil Diffuser"/>
    <x v="3"/>
    <x v="11"/>
    <s v="Hernandez Inc"/>
    <n v="325.26"/>
    <n v="400"/>
    <s v="Available"/>
  </r>
  <r>
    <n v="79"/>
    <s v="Decorative Lamp Shade"/>
    <x v="3"/>
    <x v="6"/>
    <s v="Ramirez-Hanson"/>
    <n v="228.53"/>
    <n v="469"/>
    <s v="Available"/>
  </r>
  <r>
    <n v="80"/>
    <s v="Wall-Mounted Spice Rack"/>
    <x v="3"/>
    <x v="9"/>
    <s v="Allison Ltd"/>
    <n v="143.43"/>
    <n v="58"/>
    <s v=" Low Stock"/>
  </r>
  <r>
    <n v="81"/>
    <s v="Badminton Racket Set"/>
    <x v="4"/>
    <x v="14"/>
    <s v="Robinson-Brown"/>
    <n v="285.54000000000002"/>
    <n v="358"/>
    <s v="Available"/>
  </r>
  <r>
    <n v="82"/>
    <s v="Fitness Resistance Bands"/>
    <x v="4"/>
    <x v="8"/>
    <s v="Reese-Watson"/>
    <n v="152.91999999999999"/>
    <n v="281"/>
    <s v="Available"/>
  </r>
  <r>
    <n v="83"/>
    <s v="Hydrating Face Cleanser"/>
    <x v="2"/>
    <x v="5"/>
    <s v="Butler Group"/>
    <n v="254.04"/>
    <n v="159"/>
    <s v="Available"/>
  </r>
  <r>
    <n v="84"/>
    <s v="Wooden Bookshelf"/>
    <x v="3"/>
    <x v="22"/>
    <s v="Collins-Stephenson"/>
    <n v="388.46"/>
    <n v="208"/>
    <s v="Available"/>
  </r>
  <r>
    <n v="85"/>
    <s v="Women's Beanie Hat"/>
    <x v="1"/>
    <x v="4"/>
    <s v="Richardson-Carrillo"/>
    <n v="119.57"/>
    <n v="210"/>
    <s v="Available"/>
  </r>
  <r>
    <n v="86"/>
    <s v="Kitchen Cutting Board"/>
    <x v="3"/>
    <x v="9"/>
    <s v="Taylor, Dodson and Johnston"/>
    <n v="176.07"/>
    <n v="82"/>
    <s v=" Low Stock"/>
  </r>
  <r>
    <n v="87"/>
    <s v="LED Bedside Lamp"/>
    <x v="3"/>
    <x v="6"/>
    <s v="Aguilar, Horton and Lewis"/>
    <n v="371.38"/>
    <n v="220"/>
    <s v="Available"/>
  </r>
  <r>
    <n v="88"/>
    <s v="Sports Wrist Sweatbands"/>
    <x v="4"/>
    <x v="4"/>
    <s v="Olsen-Daniels"/>
    <n v="131.24"/>
    <n v="232"/>
    <s v="Available"/>
  </r>
  <r>
    <n v="89"/>
    <s v="Face Foundation Kit"/>
    <x v="2"/>
    <x v="20"/>
    <s v="Taylor-Elliott"/>
    <n v="183.04"/>
    <n v="457"/>
    <s v="Available"/>
  </r>
  <r>
    <n v="90"/>
    <s v="Gaming Mouse Pad XL"/>
    <x v="0"/>
    <x v="4"/>
    <s v="Sharp, Taylor and Rodriguez"/>
    <n v="340.14"/>
    <n v="361"/>
    <s v="Available"/>
  </r>
  <r>
    <n v="91"/>
    <s v="Women's High Heels"/>
    <x v="1"/>
    <x v="18"/>
    <s v="Smith-Charles"/>
    <n v="438.25"/>
    <n v="496"/>
    <s v="Available"/>
  </r>
  <r>
    <n v="92"/>
    <s v="Microwave Oven"/>
    <x v="3"/>
    <x v="12"/>
    <s v="Green, Powell and Palmer"/>
    <n v="447.43"/>
    <n v="191"/>
    <s v="Available"/>
  </r>
  <r>
    <n v="93"/>
    <s v="USB-C Laptop Charger"/>
    <x v="0"/>
    <x v="0"/>
    <s v="Martin LLC"/>
    <n v="377.52"/>
    <n v="485"/>
    <s v="Available"/>
  </r>
  <r>
    <n v="94"/>
    <s v="Vitamin E Body Lotion"/>
    <x v="2"/>
    <x v="5"/>
    <s v="Hoffman-Williams"/>
    <n v="358.47"/>
    <n v="213"/>
    <s v="Available"/>
  </r>
  <r>
    <n v="95"/>
    <s v="Sports Stopwatch Basic"/>
    <x v="4"/>
    <x v="4"/>
    <s v="Wilson Group"/>
    <n v="60.65"/>
    <n v="75"/>
    <s v=" Low Stock"/>
  </r>
  <r>
    <n v="96"/>
    <s v="Women's Formal Blazer"/>
    <x v="1"/>
    <x v="2"/>
    <s v="Phillips and Sons"/>
    <n v="358.47"/>
    <n v="143"/>
    <s v="Available"/>
  </r>
  <r>
    <n v="97"/>
    <s v="Cricket Bat"/>
    <x v="4"/>
    <x v="17"/>
    <s v="Khan LLC"/>
    <n v="245.98"/>
    <n v="471"/>
    <s v="Available"/>
  </r>
  <r>
    <n v="98"/>
    <s v="Portable Bluetooth Speaker"/>
    <x v="0"/>
    <x v="7"/>
    <s v="Flores-King"/>
    <n v="431.67"/>
    <n v="73"/>
    <s v=" Low Stock"/>
  </r>
  <r>
    <n v="99"/>
    <s v="Stainless Steel Cookware Set"/>
    <x v="3"/>
    <x v="9"/>
    <s v="Campbell Ltd"/>
    <n v="201.41"/>
    <n v="146"/>
    <s v="Avail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rowHeaderCaption="CATEGORY">
  <location ref="A49:B72" firstHeaderRow="1" firstDataRow="1" firstDataCol="1"/>
  <pivotFields count="8">
    <pivotField showAll="0"/>
    <pivotField showAll="0"/>
    <pivotField showAll="0">
      <items count="6">
        <item x="2"/>
        <item x="1"/>
        <item x="0"/>
        <item x="3"/>
        <item x="4"/>
        <item t="default"/>
      </items>
    </pivotField>
    <pivotField axis="axisRow" showAll="0">
      <items count="24">
        <item x="4"/>
        <item x="12"/>
        <item x="7"/>
        <item x="3"/>
        <item x="0"/>
        <item x="11"/>
        <item x="14"/>
        <item x="8"/>
        <item x="18"/>
        <item x="21"/>
        <item x="22"/>
        <item x="13"/>
        <item x="10"/>
        <item x="9"/>
        <item x="6"/>
        <item x="20"/>
        <item x="19"/>
        <item x="16"/>
        <item x="2"/>
        <item x="5"/>
        <item x="15"/>
        <item x="17"/>
        <item x="1"/>
        <item t="default"/>
      </items>
    </pivotField>
    <pivotField showAll="0"/>
    <pivotField numFmtId="164" showAll="0"/>
    <pivotField dataField="1" numFmtId="2"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Stock" fld="6" baseField="3"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product">
  <location ref="A34:B39" firstHeaderRow="1" firstDataRow="1" firstDataCol="1"/>
  <pivotFields count="8">
    <pivotField showAll="0"/>
    <pivotField showAll="0"/>
    <pivotField axis="axisRow" showAll="0">
      <items count="6">
        <item x="2"/>
        <item x="1"/>
        <item x="0"/>
        <item x="3"/>
        <item x="4"/>
        <item t="default"/>
      </items>
    </pivotField>
    <pivotField showAll="0"/>
    <pivotField showAll="0"/>
    <pivotField dataField="1" numFmtId="164" showAll="0"/>
    <pivotField numFmtId="2" showAll="0"/>
    <pivotField showAll="0"/>
  </pivotFields>
  <rowFields count="1">
    <field x="2"/>
  </rowFields>
  <rowItems count="5">
    <i>
      <x/>
    </i>
    <i>
      <x v="1"/>
    </i>
    <i>
      <x v="2"/>
    </i>
    <i>
      <x v="3"/>
    </i>
    <i>
      <x v="4"/>
    </i>
  </rowItems>
  <colItems count="1">
    <i/>
  </colItems>
  <dataFields count="1">
    <dataField name="Sum of Cost" fld="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rowHeaderCaption="product">
  <location ref="A20:B25" firstHeaderRow="1" firstDataRow="1" firstDataCol="1"/>
  <pivotFields count="8">
    <pivotField showAll="0"/>
    <pivotField showAll="0"/>
    <pivotField axis="axisRow" showAll="0">
      <items count="6">
        <item x="2"/>
        <item x="1"/>
        <item x="0"/>
        <item x="3"/>
        <item x="4"/>
        <item t="default"/>
      </items>
    </pivotField>
    <pivotField showAll="0"/>
    <pivotField showAll="0"/>
    <pivotField numFmtId="164" showAll="0"/>
    <pivotField dataField="1" numFmtId="2" showAll="0"/>
    <pivotField showAll="0"/>
  </pivotFields>
  <rowFields count="1">
    <field x="2"/>
  </rowFields>
  <rowItems count="5">
    <i>
      <x/>
    </i>
    <i>
      <x v="1"/>
    </i>
    <i>
      <x v="2"/>
    </i>
    <i>
      <x v="3"/>
    </i>
    <i>
      <x v="4"/>
    </i>
  </rowItems>
  <colItems count="1">
    <i/>
  </colItems>
  <dataFields count="1">
    <dataField name="Sum of Stock" fld="6" baseField="0" baseItem="0"/>
  </dataFields>
  <chartFormats count="2">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4" rowHeaderCaption="product">
  <location ref="A11:B16" firstHeaderRow="1" firstDataRow="1" firstDataCol="1"/>
  <pivotFields count="8">
    <pivotField showAll="0"/>
    <pivotField dataField="1" showAll="0"/>
    <pivotField axis="axisRow" showAll="0">
      <items count="6">
        <item x="2"/>
        <item x="1"/>
        <item x="0"/>
        <item x="3"/>
        <item x="4"/>
        <item t="default"/>
      </items>
    </pivotField>
    <pivotField showAll="0"/>
    <pivotField showAll="0"/>
    <pivotField numFmtId="164" showAll="0"/>
    <pivotField numFmtId="2" showAll="0"/>
    <pivotField showAll="0"/>
  </pivotFields>
  <rowFields count="1">
    <field x="2"/>
  </rowFields>
  <rowItems count="5">
    <i>
      <x/>
    </i>
    <i>
      <x v="1"/>
    </i>
    <i>
      <x v="2"/>
    </i>
    <i>
      <x v="3"/>
    </i>
    <i>
      <x v="4"/>
    </i>
  </rowItems>
  <colItems count="1">
    <i/>
  </colItems>
  <dataFields count="1">
    <dataField name="Count of Product_Name" fld="1" subtotal="count" baseField="0" baseItem="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4"/>
          </reference>
        </references>
      </pivotArea>
    </chartFormat>
    <chartFormat chart="13" format="42" series="1">
      <pivotArea type="data" outline="0" fieldPosition="0">
        <references count="1">
          <reference field="4294967294" count="1" selected="0">
            <x v="0"/>
          </reference>
        </references>
      </pivotArea>
    </chartFormat>
    <chartFormat chart="13" format="43">
      <pivotArea type="data" outline="0" fieldPosition="0">
        <references count="2">
          <reference field="4294967294" count="1" selected="0">
            <x v="0"/>
          </reference>
          <reference field="2" count="1" selected="0">
            <x v="0"/>
          </reference>
        </references>
      </pivotArea>
    </chartFormat>
    <chartFormat chart="13" format="44">
      <pivotArea type="data" outline="0" fieldPosition="0">
        <references count="2">
          <reference field="4294967294" count="1" selected="0">
            <x v="0"/>
          </reference>
          <reference field="2" count="1" selected="0">
            <x v="1"/>
          </reference>
        </references>
      </pivotArea>
    </chartFormat>
    <chartFormat chart="13" format="45">
      <pivotArea type="data" outline="0" fieldPosition="0">
        <references count="2">
          <reference field="4294967294" count="1" selected="0">
            <x v="0"/>
          </reference>
          <reference field="2" count="1" selected="0">
            <x v="2"/>
          </reference>
        </references>
      </pivotArea>
    </chartFormat>
    <chartFormat chart="13" format="46">
      <pivotArea type="data" outline="0" fieldPosition="0">
        <references count="2">
          <reference field="4294967294" count="1" selected="0">
            <x v="0"/>
          </reference>
          <reference field="2" count="1" selected="0">
            <x v="3"/>
          </reference>
        </references>
      </pivotArea>
    </chartFormat>
    <chartFormat chart="13" format="4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3:B8" firstHeaderRow="1" firstDataRow="1" firstDataCol="1"/>
  <pivotFields count="8">
    <pivotField showAll="0"/>
    <pivotField showAll="0"/>
    <pivotField axis="axisRow" showAll="0">
      <items count="6">
        <item x="2"/>
        <item x="1"/>
        <item x="0"/>
        <item x="3"/>
        <item x="4"/>
        <item t="default"/>
      </items>
    </pivotField>
    <pivotField showAll="0"/>
    <pivotField showAll="0"/>
    <pivotField dataField="1" numFmtId="164" showAll="0"/>
    <pivotField numFmtId="2" showAll="0"/>
    <pivotField showAll="0"/>
  </pivotFields>
  <rowFields count="1">
    <field x="2"/>
  </rowFields>
  <rowItems count="5">
    <i>
      <x/>
    </i>
    <i>
      <x v="1"/>
    </i>
    <i>
      <x v="2"/>
    </i>
    <i>
      <x v="3"/>
    </i>
    <i>
      <x v="4"/>
    </i>
  </rowItems>
  <colItems count="1">
    <i/>
  </colItems>
  <dataFields count="1">
    <dataField name="Average of Cost" fld="5" subtotal="average" baseField="2"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0:B86" firstHeaderRow="1" firstDataRow="1" firstDataCol="1"/>
  <pivotFields count="8">
    <pivotField showAll="0"/>
    <pivotField showAll="0"/>
    <pivotField axis="axisRow" showAll="0">
      <items count="6">
        <item x="2"/>
        <item x="1"/>
        <item x="0"/>
        <item x="3"/>
        <item x="4"/>
        <item t="default"/>
      </items>
    </pivotField>
    <pivotField showAll="0"/>
    <pivotField showAll="0"/>
    <pivotField dataField="1" numFmtId="164" showAll="0"/>
    <pivotField numFmtId="2" showAll="0"/>
    <pivotField showAll="0"/>
  </pivotFields>
  <rowFields count="1">
    <field x="2"/>
  </rowFields>
  <rowItems count="6">
    <i>
      <x/>
    </i>
    <i>
      <x v="1"/>
    </i>
    <i>
      <x v="2"/>
    </i>
    <i>
      <x v="3"/>
    </i>
    <i>
      <x v="4"/>
    </i>
    <i t="grand">
      <x/>
    </i>
  </rowItems>
  <colItems count="1">
    <i/>
  </colItems>
  <dataFields count="1">
    <dataField name="Average of Cost"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4"/>
    <pivotTable tabId="2" name="PivotTable3"/>
    <pivotTable tabId="2" name="PivotTable7"/>
    <pivotTable tabId="2" name="PivotTable2"/>
  </pivotTables>
  <data>
    <tabular pivotCacheId="1">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b_Category" sourceName="Sub_Category">
  <pivotTables>
    <pivotTable tabId="2" name="PivotTable5"/>
  </pivotTables>
  <data>
    <tabular pivotCacheId="1">
      <items count="23">
        <i x="4" s="1"/>
        <i x="12" s="1"/>
        <i x="7" s="1"/>
        <i x="3" s="1"/>
        <i x="0" s="1"/>
        <i x="11" s="1"/>
        <i x="14" s="1"/>
        <i x="8" s="1"/>
        <i x="18" s="1"/>
        <i x="21" s="1"/>
        <i x="22" s="1"/>
        <i x="13" s="1"/>
        <i x="10" s="1"/>
        <i x="9" s="1"/>
        <i x="6" s="1"/>
        <i x="20" s="1"/>
        <i x="19" s="1"/>
        <i x="16" s="1"/>
        <i x="2" s="1"/>
        <i x="5" s="1"/>
        <i x="15" s="1"/>
        <i x="1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columnCount="2" rowHeight="234950"/>
  <slicer name="Sub_Category 2" cache="Slicer_Sub_Category" caption="Sub_Category" columnCount="3" rowHeight="234950"/>
</slicers>
</file>

<file path=xl/tables/table1.xml><?xml version="1.0" encoding="utf-8"?>
<table xmlns="http://schemas.openxmlformats.org/spreadsheetml/2006/main" id="1" name="RAW_DATA_DB" displayName="RAW_DATA_DB" ref="A1:H102" totalsRowCount="1" headerRowDxfId="31" dataDxfId="29" headerRowBorderDxfId="30" tableBorderDxfId="28">
  <autoFilter ref="A1:H101"/>
  <tableColumns count="8">
    <tableColumn id="1" name="Product_ID" dataDxfId="27" totalsRowDxfId="26"/>
    <tableColumn id="2" name="Product_Name" dataDxfId="25" totalsRowDxfId="24"/>
    <tableColumn id="3" name="Category" dataDxfId="23" totalsRowDxfId="22"/>
    <tableColumn id="4" name="Sub_Category" dataDxfId="21" totalsRowDxfId="20"/>
    <tableColumn id="5" name="Brand" dataDxfId="19" totalsRowDxfId="18"/>
    <tableColumn id="6" name="Cost" dataDxfId="17" totalsRowDxfId="16"/>
    <tableColumn id="7" name="Stock" dataDxfId="15" totalsRowDxfId="14"/>
    <tableColumn id="8" name="Stock_Status" dataDxfId="13" totalsRowDxfId="12">
      <calculatedColumnFormula>IF(RAW_DATA_DB[Stock]&lt;100," Low Stock","Available")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K4:L9" headerRowCount="0" totalsRowShown="0" headerRowBorderDxfId="11" tableBorderDxfId="10" totalsRowBorderDxfId="9">
  <tableColumns count="2">
    <tableColumn id="1" name="Column1" headerRowDxfId="8" dataDxfId="7"/>
    <tableColumn id="2" name="Column2" headerRowDxfId="6"/>
  </tableColumns>
  <tableStyleInfo name="TableStyleMedium4" showFirstColumn="0" showLastColumn="0" showRowStripes="1" showColumnStripes="0"/>
</table>
</file>

<file path=xl/tables/table3.xml><?xml version="1.0" encoding="utf-8"?>
<table xmlns="http://schemas.openxmlformats.org/spreadsheetml/2006/main" id="2" name="Table2" displayName="Table2" ref="O2:P102" headerRowCount="0" totalsRowShown="0" headerRowDxfId="5" tableBorderDxfId="4">
  <tableColumns count="2">
    <tableColumn id="1" name="vlookup" headerRowDxfId="3" dataDxfId="2"/>
    <tableColumn id="2" name="Column1" headerRowDxfId="1" dataDxfId="0">
      <calculatedColumnFormula>VLOOKUP(O2,$A1:$H100,6,FALSE)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6"/>
  <sheetViews>
    <sheetView workbookViewId="0">
      <selection activeCell="L1" sqref="L1"/>
    </sheetView>
  </sheetViews>
  <sheetFormatPr defaultRowHeight="14.4"/>
  <cols>
    <col min="1" max="1" width="9.88671875" customWidth="1"/>
    <col min="2" max="2" width="21.77734375" customWidth="1"/>
    <col min="3" max="3" width="12.109375" customWidth="1"/>
    <col min="4" max="94" width="15.5546875" bestFit="1" customWidth="1"/>
    <col min="95" max="95" width="10.77734375" bestFit="1" customWidth="1"/>
  </cols>
  <sheetData>
    <row r="2" spans="1:2">
      <c r="A2" t="s">
        <v>272</v>
      </c>
    </row>
    <row r="3" spans="1:2">
      <c r="A3" s="9" t="s">
        <v>269</v>
      </c>
      <c r="B3" t="s">
        <v>271</v>
      </c>
    </row>
    <row r="4" spans="1:2">
      <c r="A4" s="11" t="s">
        <v>26</v>
      </c>
      <c r="B4" s="10">
        <v>250.89933333333332</v>
      </c>
    </row>
    <row r="5" spans="1:2">
      <c r="A5" s="11" t="s">
        <v>11</v>
      </c>
      <c r="B5" s="10">
        <v>263.7838888888889</v>
      </c>
    </row>
    <row r="6" spans="1:2">
      <c r="A6" s="11" t="s">
        <v>7</v>
      </c>
      <c r="B6" s="10">
        <v>316.55523809523811</v>
      </c>
    </row>
    <row r="7" spans="1:2">
      <c r="A7" s="11" t="s">
        <v>30</v>
      </c>
      <c r="B7" s="10">
        <v>235.72190476190477</v>
      </c>
    </row>
    <row r="8" spans="1:2">
      <c r="A8" s="11" t="s">
        <v>37</v>
      </c>
      <c r="B8" s="10">
        <v>211.79679999999996</v>
      </c>
    </row>
    <row r="10" spans="1:2">
      <c r="A10" s="11" t="s">
        <v>243</v>
      </c>
    </row>
    <row r="11" spans="1:2">
      <c r="A11" s="9" t="s">
        <v>266</v>
      </c>
      <c r="B11" t="s">
        <v>244</v>
      </c>
    </row>
    <row r="12" spans="1:2">
      <c r="A12" s="11" t="s">
        <v>26</v>
      </c>
      <c r="B12" s="10">
        <v>15</v>
      </c>
    </row>
    <row r="13" spans="1:2">
      <c r="A13" s="11" t="s">
        <v>11</v>
      </c>
      <c r="B13" s="10">
        <v>18</v>
      </c>
    </row>
    <row r="14" spans="1:2">
      <c r="A14" s="11" t="s">
        <v>7</v>
      </c>
      <c r="B14" s="10">
        <v>21</v>
      </c>
    </row>
    <row r="15" spans="1:2">
      <c r="A15" s="11" t="s">
        <v>30</v>
      </c>
      <c r="B15" s="10">
        <v>21</v>
      </c>
    </row>
    <row r="16" spans="1:2">
      <c r="A16" s="11" t="s">
        <v>37</v>
      </c>
      <c r="B16" s="10">
        <v>25</v>
      </c>
    </row>
    <row r="17" spans="1:2">
      <c r="A17" s="11"/>
      <c r="B17" s="10"/>
    </row>
    <row r="19" spans="1:2">
      <c r="A19" s="11" t="s">
        <v>245</v>
      </c>
    </row>
    <row r="20" spans="1:2">
      <c r="A20" s="9" t="s">
        <v>266</v>
      </c>
      <c r="B20" t="s">
        <v>246</v>
      </c>
    </row>
    <row r="21" spans="1:2">
      <c r="A21" s="11" t="s">
        <v>26</v>
      </c>
      <c r="B21" s="10">
        <v>4816</v>
      </c>
    </row>
    <row r="22" spans="1:2">
      <c r="A22" s="11" t="s">
        <v>11</v>
      </c>
      <c r="B22" s="10">
        <v>4931</v>
      </c>
    </row>
    <row r="23" spans="1:2">
      <c r="A23" s="11" t="s">
        <v>7</v>
      </c>
      <c r="B23" s="10">
        <v>5770</v>
      </c>
    </row>
    <row r="24" spans="1:2">
      <c r="A24" s="11" t="s">
        <v>30</v>
      </c>
      <c r="B24" s="10">
        <v>4797</v>
      </c>
    </row>
    <row r="25" spans="1:2">
      <c r="A25" s="11" t="s">
        <v>37</v>
      </c>
      <c r="B25" s="10">
        <v>7043</v>
      </c>
    </row>
    <row r="33" spans="1:2">
      <c r="A33" t="s">
        <v>267</v>
      </c>
    </row>
    <row r="34" spans="1:2">
      <c r="A34" s="9" t="s">
        <v>266</v>
      </c>
      <c r="B34" t="s">
        <v>242</v>
      </c>
    </row>
    <row r="35" spans="1:2">
      <c r="A35" s="11" t="s">
        <v>26</v>
      </c>
      <c r="B35" s="10">
        <v>3763.49</v>
      </c>
    </row>
    <row r="36" spans="1:2">
      <c r="A36" s="11" t="s">
        <v>11</v>
      </c>
      <c r="B36" s="10">
        <v>4748.1099999999997</v>
      </c>
    </row>
    <row r="37" spans="1:2">
      <c r="A37" s="11" t="s">
        <v>7</v>
      </c>
      <c r="B37" s="10">
        <v>6647.66</v>
      </c>
    </row>
    <row r="38" spans="1:2">
      <c r="A38" s="11" t="s">
        <v>30</v>
      </c>
      <c r="B38" s="10">
        <v>4950.16</v>
      </c>
    </row>
    <row r="39" spans="1:2">
      <c r="A39" s="11" t="s">
        <v>37</v>
      </c>
      <c r="B39" s="10">
        <v>5294.9199999999992</v>
      </c>
    </row>
    <row r="48" spans="1:2">
      <c r="A48" t="s">
        <v>268</v>
      </c>
    </row>
    <row r="49" spans="1:2">
      <c r="A49" s="9" t="s">
        <v>265</v>
      </c>
      <c r="B49" t="s">
        <v>246</v>
      </c>
    </row>
    <row r="50" spans="1:2">
      <c r="A50" s="11" t="s">
        <v>23</v>
      </c>
      <c r="B50" s="10">
        <v>4598</v>
      </c>
    </row>
    <row r="51" spans="1:2">
      <c r="A51" s="11" t="s">
        <v>54</v>
      </c>
      <c r="B51" s="10">
        <v>596</v>
      </c>
    </row>
    <row r="52" spans="1:2">
      <c r="A52" s="11" t="s">
        <v>34</v>
      </c>
      <c r="B52" s="10">
        <v>965</v>
      </c>
    </row>
    <row r="53" spans="1:2">
      <c r="A53" s="11" t="s">
        <v>20</v>
      </c>
      <c r="B53" s="10">
        <v>1179</v>
      </c>
    </row>
    <row r="54" spans="1:2">
      <c r="A54" s="11" t="s">
        <v>8</v>
      </c>
      <c r="B54" s="10">
        <v>1795</v>
      </c>
    </row>
    <row r="55" spans="1:2">
      <c r="A55" s="11" t="s">
        <v>51</v>
      </c>
      <c r="B55" s="10">
        <v>2264</v>
      </c>
    </row>
    <row r="56" spans="1:2">
      <c r="A56" s="11" t="s">
        <v>64</v>
      </c>
      <c r="B56" s="10">
        <v>1320</v>
      </c>
    </row>
    <row r="57" spans="1:2">
      <c r="A57" s="11" t="s">
        <v>38</v>
      </c>
      <c r="B57" s="10">
        <v>2410</v>
      </c>
    </row>
    <row r="58" spans="1:2">
      <c r="A58" s="11" t="s">
        <v>104</v>
      </c>
      <c r="B58" s="10">
        <v>792</v>
      </c>
    </row>
    <row r="59" spans="1:2">
      <c r="A59" s="11" t="s">
        <v>131</v>
      </c>
      <c r="B59" s="10">
        <v>711</v>
      </c>
    </row>
    <row r="60" spans="1:2">
      <c r="A60" s="11" t="s">
        <v>170</v>
      </c>
      <c r="B60" s="10">
        <v>338</v>
      </c>
    </row>
    <row r="61" spans="1:2">
      <c r="A61" s="11" t="s">
        <v>57</v>
      </c>
      <c r="B61" s="10">
        <v>256</v>
      </c>
    </row>
    <row r="62" spans="1:2">
      <c r="A62" s="11" t="s">
        <v>46</v>
      </c>
      <c r="B62" s="10">
        <v>1419</v>
      </c>
    </row>
    <row r="63" spans="1:2">
      <c r="A63" s="11" t="s">
        <v>41</v>
      </c>
      <c r="B63" s="10">
        <v>651</v>
      </c>
    </row>
    <row r="64" spans="1:2">
      <c r="A64" s="11" t="s">
        <v>31</v>
      </c>
      <c r="B64" s="10">
        <v>1188</v>
      </c>
    </row>
    <row r="65" spans="1:2">
      <c r="A65" s="11" t="s">
        <v>126</v>
      </c>
      <c r="B65" s="10">
        <v>1006</v>
      </c>
    </row>
    <row r="66" spans="1:2">
      <c r="A66" s="11" t="s">
        <v>109</v>
      </c>
      <c r="B66" s="10">
        <v>301</v>
      </c>
    </row>
    <row r="67" spans="1:2">
      <c r="A67" s="11" t="s">
        <v>76</v>
      </c>
      <c r="B67" s="10">
        <v>734</v>
      </c>
    </row>
    <row r="68" spans="1:2">
      <c r="A68" s="11" t="s">
        <v>15</v>
      </c>
      <c r="B68" s="10">
        <v>1243</v>
      </c>
    </row>
    <row r="69" spans="1:2">
      <c r="A69" s="11" t="s">
        <v>27</v>
      </c>
      <c r="B69" s="10">
        <v>1424</v>
      </c>
    </row>
    <row r="70" spans="1:2">
      <c r="A70" s="11" t="s">
        <v>69</v>
      </c>
      <c r="B70" s="10">
        <v>165</v>
      </c>
    </row>
    <row r="71" spans="1:2">
      <c r="A71" s="11" t="s">
        <v>91</v>
      </c>
      <c r="B71" s="10">
        <v>1307</v>
      </c>
    </row>
    <row r="72" spans="1:2">
      <c r="A72" s="11" t="s">
        <v>12</v>
      </c>
      <c r="B72" s="10">
        <v>695</v>
      </c>
    </row>
    <row r="80" spans="1:2">
      <c r="A80" s="9" t="s">
        <v>269</v>
      </c>
      <c r="B80" t="s">
        <v>271</v>
      </c>
    </row>
    <row r="81" spans="1:2">
      <c r="A81" s="11" t="s">
        <v>26</v>
      </c>
      <c r="B81" s="10">
        <v>250.89933333333332</v>
      </c>
    </row>
    <row r="82" spans="1:2">
      <c r="A82" s="11" t="s">
        <v>11</v>
      </c>
      <c r="B82" s="10">
        <v>263.7838888888889</v>
      </c>
    </row>
    <row r="83" spans="1:2">
      <c r="A83" s="11" t="s">
        <v>7</v>
      </c>
      <c r="B83" s="10">
        <v>316.55523809523811</v>
      </c>
    </row>
    <row r="84" spans="1:2">
      <c r="A84" s="11" t="s">
        <v>30</v>
      </c>
      <c r="B84" s="10">
        <v>235.72190476190477</v>
      </c>
    </row>
    <row r="85" spans="1:2">
      <c r="A85" s="11" t="s">
        <v>37</v>
      </c>
      <c r="B85" s="10">
        <v>211.79679999999996</v>
      </c>
    </row>
    <row r="86" spans="1:2">
      <c r="A86" s="11" t="s">
        <v>270</v>
      </c>
      <c r="B86" s="10">
        <v>254.04339999999996</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
  <sheetViews>
    <sheetView showGridLines="0" showRowColHeaders="0" zoomScale="80" zoomScaleNormal="80" workbookViewId="0">
      <selection activeCell="AB23" sqref="AB23"/>
    </sheetView>
  </sheetViews>
  <sheetFormatPr defaultRowHeight="14.4"/>
  <sheetData>
    <row r="3" ht="15.6"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2"/>
  <sheetViews>
    <sheetView tabSelected="1" topLeftCell="H1" zoomScaleNormal="100" workbookViewId="0">
      <selection sqref="A1:G101"/>
    </sheetView>
  </sheetViews>
  <sheetFormatPr defaultRowHeight="14.4"/>
  <cols>
    <col min="1" max="1" width="20.44140625" style="22" customWidth="1"/>
    <col min="2" max="2" width="26.109375" style="22" customWidth="1"/>
    <col min="3" max="3" width="19.33203125" style="22" customWidth="1"/>
    <col min="4" max="4" width="17.5546875" style="22" customWidth="1"/>
    <col min="5" max="5" width="31.21875" style="22" customWidth="1"/>
    <col min="6" max="6" width="16.5546875" style="25" customWidth="1"/>
    <col min="7" max="7" width="17" style="28" customWidth="1"/>
    <col min="8" max="8" width="15.88671875" style="22" customWidth="1"/>
    <col min="11" max="11" width="22.77734375" bestFit="1" customWidth="1"/>
    <col min="12" max="12" width="10.44140625" customWidth="1"/>
    <col min="14" max="14" width="10.33203125" customWidth="1"/>
    <col min="15" max="15" width="15.33203125" customWidth="1"/>
    <col min="16" max="16" width="17" customWidth="1"/>
    <col min="18" max="18" width="5.21875" customWidth="1"/>
    <col min="19" max="19" width="19.109375" customWidth="1"/>
    <col min="22" max="22" width="16.5546875" customWidth="1"/>
    <col min="23" max="23" width="17.88671875" bestFit="1" customWidth="1"/>
  </cols>
  <sheetData>
    <row r="1" spans="1:24">
      <c r="A1" s="1" t="s">
        <v>234</v>
      </c>
      <c r="B1" s="1" t="s">
        <v>0</v>
      </c>
      <c r="C1" s="1" t="s">
        <v>1</v>
      </c>
      <c r="D1" s="1" t="s">
        <v>2</v>
      </c>
      <c r="E1" s="1" t="s">
        <v>3</v>
      </c>
      <c r="F1" s="2" t="s">
        <v>4</v>
      </c>
      <c r="G1" s="3" t="s">
        <v>5</v>
      </c>
      <c r="H1" s="18" t="s">
        <v>241</v>
      </c>
      <c r="O1" s="41" t="s">
        <v>248</v>
      </c>
      <c r="P1" s="41"/>
      <c r="R1" s="35"/>
      <c r="S1" s="35"/>
      <c r="T1" s="35"/>
      <c r="U1" s="35"/>
    </row>
    <row r="2" spans="1:24">
      <c r="A2" s="20">
        <v>0</v>
      </c>
      <c r="B2" s="20" t="s">
        <v>6</v>
      </c>
      <c r="C2" s="20" t="s">
        <v>7</v>
      </c>
      <c r="D2" s="20" t="s">
        <v>8</v>
      </c>
      <c r="E2" s="20" t="s">
        <v>9</v>
      </c>
      <c r="F2" s="23">
        <v>112.42</v>
      </c>
      <c r="G2" s="26">
        <v>416</v>
      </c>
      <c r="H2" s="29" t="str">
        <f>IF(RAW_DATA_DB[Stock]&lt;100," Low Stock","Available")</f>
        <v>Available</v>
      </c>
      <c r="O2" s="16" t="s">
        <v>247</v>
      </c>
      <c r="P2" s="16" t="s">
        <v>249</v>
      </c>
      <c r="R2" s="36" t="s">
        <v>263</v>
      </c>
      <c r="S2" s="37"/>
      <c r="T2" s="37"/>
      <c r="U2" s="36"/>
      <c r="V2" s="40" t="s">
        <v>264</v>
      </c>
      <c r="W2" s="40"/>
      <c r="X2" s="34"/>
    </row>
    <row r="3" spans="1:24">
      <c r="A3" s="20">
        <v>1</v>
      </c>
      <c r="B3" s="20" t="s">
        <v>10</v>
      </c>
      <c r="C3" s="20" t="s">
        <v>11</v>
      </c>
      <c r="D3" s="20" t="s">
        <v>12</v>
      </c>
      <c r="E3" s="20" t="s">
        <v>13</v>
      </c>
      <c r="F3" s="23">
        <v>342.56</v>
      </c>
      <c r="G3" s="26">
        <v>181</v>
      </c>
      <c r="H3" s="30" t="str">
        <f>IF(RAW_DATA_DB[Stock]&lt;100," Low Stock","Available")</f>
        <v>Available</v>
      </c>
      <c r="O3" s="17">
        <v>0</v>
      </c>
      <c r="P3" s="12">
        <f t="shared" ref="P3:P34" si="0">VLOOKUP(O3,$A2:$H101,6,FALSE)</f>
        <v>112.42</v>
      </c>
      <c r="S3" s="38"/>
      <c r="T3" s="38"/>
      <c r="U3" s="32"/>
      <c r="V3" s="38"/>
      <c r="W3" s="38"/>
    </row>
    <row r="4" spans="1:24">
      <c r="A4" s="20">
        <v>2</v>
      </c>
      <c r="B4" s="20" t="s">
        <v>14</v>
      </c>
      <c r="C4" s="20" t="s">
        <v>11</v>
      </c>
      <c r="D4" s="20" t="s">
        <v>15</v>
      </c>
      <c r="E4" s="20" t="s">
        <v>16</v>
      </c>
      <c r="F4" s="23">
        <v>254.04</v>
      </c>
      <c r="G4" s="26">
        <v>352</v>
      </c>
      <c r="H4" s="29" t="str">
        <f>IF(RAW_DATA_DB[Stock]&lt;100," Low Stock","Available")</f>
        <v>Available</v>
      </c>
      <c r="K4" s="4" t="s">
        <v>235</v>
      </c>
      <c r="L4" s="7">
        <f>AVERAGE(F2:F101)</f>
        <v>254.04340000000008</v>
      </c>
      <c r="O4" s="13">
        <v>1</v>
      </c>
      <c r="P4" s="12">
        <f t="shared" si="0"/>
        <v>342.56</v>
      </c>
      <c r="S4" s="38" t="s">
        <v>250</v>
      </c>
      <c r="T4" s="39">
        <v>254.04340000000008</v>
      </c>
      <c r="U4" s="32"/>
      <c r="V4" s="38" t="s">
        <v>250</v>
      </c>
      <c r="W4" s="39">
        <v>273.57</v>
      </c>
      <c r="X4" s="19"/>
    </row>
    <row r="5" spans="1:24">
      <c r="A5" s="20">
        <v>3</v>
      </c>
      <c r="B5" s="20" t="s">
        <v>17</v>
      </c>
      <c r="C5" s="20" t="s">
        <v>11</v>
      </c>
      <c r="D5" s="20" t="s">
        <v>15</v>
      </c>
      <c r="E5" s="20" t="s">
        <v>18</v>
      </c>
      <c r="F5" s="23">
        <v>364.67</v>
      </c>
      <c r="G5" s="26">
        <v>452</v>
      </c>
      <c r="H5" s="30" t="str">
        <f>IF(RAW_DATA_DB[Stock]&lt;100," Low Stock","Available")</f>
        <v>Available</v>
      </c>
      <c r="K5" s="4" t="s">
        <v>236</v>
      </c>
      <c r="L5" s="7">
        <f>MAX(F2:F101)</f>
        <v>495.72</v>
      </c>
      <c r="O5" s="17">
        <v>2</v>
      </c>
      <c r="P5" s="12">
        <f t="shared" si="0"/>
        <v>254.04</v>
      </c>
      <c r="S5" s="38" t="s">
        <v>251</v>
      </c>
      <c r="T5" s="39">
        <v>13.082030954841604</v>
      </c>
      <c r="U5" s="32"/>
      <c r="V5" s="38" t="s">
        <v>251</v>
      </c>
      <c r="W5" s="39">
        <v>12.995113728170324</v>
      </c>
    </row>
    <row r="6" spans="1:24">
      <c r="A6" s="20">
        <v>4</v>
      </c>
      <c r="B6" s="20" t="s">
        <v>19</v>
      </c>
      <c r="C6" s="20" t="s">
        <v>11</v>
      </c>
      <c r="D6" s="20" t="s">
        <v>20</v>
      </c>
      <c r="E6" s="20" t="s">
        <v>21</v>
      </c>
      <c r="F6" s="23">
        <v>306.45999999999998</v>
      </c>
      <c r="G6" s="26">
        <v>487</v>
      </c>
      <c r="H6" s="29" t="str">
        <f>IF(RAW_DATA_DB[Stock]&lt;100," Low Stock","Available")</f>
        <v>Available</v>
      </c>
      <c r="K6" s="4" t="s">
        <v>237</v>
      </c>
      <c r="L6" s="7">
        <f>MIN(F2:F101)</f>
        <v>17.309999999999999</v>
      </c>
      <c r="O6" s="13">
        <v>3</v>
      </c>
      <c r="P6" s="12">
        <f t="shared" si="0"/>
        <v>364.67</v>
      </c>
      <c r="S6" s="38" t="s">
        <v>252</v>
      </c>
      <c r="T6" s="39">
        <v>253.685</v>
      </c>
      <c r="U6" s="32"/>
      <c r="V6" s="38" t="s">
        <v>252</v>
      </c>
      <c r="W6" s="39">
        <v>276</v>
      </c>
    </row>
    <row r="7" spans="1:24">
      <c r="A7" s="20">
        <v>5</v>
      </c>
      <c r="B7" s="20" t="s">
        <v>22</v>
      </c>
      <c r="C7" s="20" t="s">
        <v>11</v>
      </c>
      <c r="D7" s="20" t="s">
        <v>23</v>
      </c>
      <c r="E7" s="20" t="s">
        <v>24</v>
      </c>
      <c r="F7" s="23">
        <v>261</v>
      </c>
      <c r="G7" s="26">
        <v>59</v>
      </c>
      <c r="H7" s="30" t="str">
        <f>IF(RAW_DATA_DB[Stock]&lt;100," Low Stock","Available")</f>
        <v xml:space="preserve"> Low Stock</v>
      </c>
      <c r="K7" s="4" t="s">
        <v>238</v>
      </c>
      <c r="L7" s="8">
        <f>SUM(G2:G101)</f>
        <v>27357</v>
      </c>
      <c r="O7" s="17">
        <v>4</v>
      </c>
      <c r="P7" s="12">
        <f t="shared" si="0"/>
        <v>306.45999999999998</v>
      </c>
      <c r="S7" s="38" t="s">
        <v>253</v>
      </c>
      <c r="T7" s="39">
        <v>254.04</v>
      </c>
      <c r="U7" s="32"/>
      <c r="V7" s="38" t="s">
        <v>253</v>
      </c>
      <c r="W7" s="39">
        <v>276</v>
      </c>
    </row>
    <row r="8" spans="1:24">
      <c r="A8" s="20">
        <v>6</v>
      </c>
      <c r="B8" s="20" t="s">
        <v>25</v>
      </c>
      <c r="C8" s="20" t="s">
        <v>26</v>
      </c>
      <c r="D8" s="20" t="s">
        <v>27</v>
      </c>
      <c r="E8" s="20" t="s">
        <v>28</v>
      </c>
      <c r="F8" s="23">
        <v>312.8</v>
      </c>
      <c r="G8" s="26">
        <v>350</v>
      </c>
      <c r="H8" s="29" t="str">
        <f>IF(RAW_DATA_DB[Stock]&lt;100," Low Stock","Available")</f>
        <v>Available</v>
      </c>
      <c r="K8" s="4" t="s">
        <v>239</v>
      </c>
      <c r="L8" s="8">
        <f>AVERAGE(G2:G101)</f>
        <v>273.57</v>
      </c>
      <c r="O8" s="13">
        <v>5</v>
      </c>
      <c r="P8" s="12">
        <f t="shared" si="0"/>
        <v>261</v>
      </c>
      <c r="S8" s="38" t="s">
        <v>254</v>
      </c>
      <c r="T8" s="39">
        <v>130.82030954841605</v>
      </c>
      <c r="U8" s="32"/>
      <c r="V8" s="38" t="s">
        <v>254</v>
      </c>
      <c r="W8" s="39">
        <v>129.95113728170324</v>
      </c>
    </row>
    <row r="9" spans="1:24">
      <c r="A9" s="20">
        <v>7</v>
      </c>
      <c r="B9" s="20" t="s">
        <v>29</v>
      </c>
      <c r="C9" s="20" t="s">
        <v>30</v>
      </c>
      <c r="D9" s="20" t="s">
        <v>31</v>
      </c>
      <c r="E9" s="20" t="s">
        <v>32</v>
      </c>
      <c r="F9" s="23">
        <v>218.86</v>
      </c>
      <c r="G9" s="26">
        <v>170</v>
      </c>
      <c r="H9" s="30" t="str">
        <f>IF(RAW_DATA_DB[Stock]&lt;100," Low Stock","Available")</f>
        <v>Available</v>
      </c>
      <c r="K9" s="5" t="s">
        <v>240</v>
      </c>
      <c r="L9" s="6">
        <f>COUNTA(B2:B101)</f>
        <v>100</v>
      </c>
      <c r="O9" s="17">
        <v>6</v>
      </c>
      <c r="P9" s="12">
        <f t="shared" si="0"/>
        <v>312.8</v>
      </c>
      <c r="S9" s="38" t="s">
        <v>255</v>
      </c>
      <c r="T9" s="39">
        <v>17113.953390343398</v>
      </c>
      <c r="U9" s="32"/>
      <c r="V9" s="38" t="s">
        <v>255</v>
      </c>
      <c r="W9" s="39">
        <v>16887.298080808079</v>
      </c>
    </row>
    <row r="10" spans="1:24">
      <c r="A10" s="20">
        <v>8</v>
      </c>
      <c r="B10" s="20" t="s">
        <v>33</v>
      </c>
      <c r="C10" s="20" t="s">
        <v>7</v>
      </c>
      <c r="D10" s="20" t="s">
        <v>34</v>
      </c>
      <c r="E10" s="20" t="s">
        <v>35</v>
      </c>
      <c r="F10" s="23">
        <v>439.07</v>
      </c>
      <c r="G10" s="26">
        <v>142</v>
      </c>
      <c r="H10" s="29" t="str">
        <f>IF(RAW_DATA_DB[Stock]&lt;100," Low Stock","Available")</f>
        <v>Available</v>
      </c>
      <c r="O10" s="13">
        <v>7</v>
      </c>
      <c r="P10" s="12">
        <f t="shared" si="0"/>
        <v>218.86</v>
      </c>
      <c r="S10" s="38" t="s">
        <v>256</v>
      </c>
      <c r="T10" s="39">
        <v>-0.9491060904367874</v>
      </c>
      <c r="U10" s="32"/>
      <c r="V10" s="38" t="s">
        <v>256</v>
      </c>
      <c r="W10" s="39">
        <v>-1.152962953949614</v>
      </c>
    </row>
    <row r="11" spans="1:24">
      <c r="A11" s="20">
        <v>9</v>
      </c>
      <c r="B11" s="20" t="s">
        <v>36</v>
      </c>
      <c r="C11" s="20" t="s">
        <v>37</v>
      </c>
      <c r="D11" s="20" t="s">
        <v>38</v>
      </c>
      <c r="E11" s="20" t="s">
        <v>39</v>
      </c>
      <c r="F11" s="23">
        <v>495.72</v>
      </c>
      <c r="G11" s="26">
        <v>323</v>
      </c>
      <c r="H11" s="30" t="str">
        <f>IF(RAW_DATA_DB[Stock]&lt;100," Low Stock","Available")</f>
        <v>Available</v>
      </c>
      <c r="O11" s="17">
        <v>8</v>
      </c>
      <c r="P11" s="12">
        <f t="shared" si="0"/>
        <v>439.07</v>
      </c>
      <c r="S11" s="38" t="s">
        <v>257</v>
      </c>
      <c r="T11" s="39">
        <v>5.2323421951371414E-2</v>
      </c>
      <c r="U11" s="32"/>
      <c r="V11" s="38" t="s">
        <v>257</v>
      </c>
      <c r="W11" s="39">
        <v>-9.4613915083235078E-3</v>
      </c>
    </row>
    <row r="12" spans="1:24">
      <c r="A12" s="20">
        <v>10</v>
      </c>
      <c r="B12" s="20" t="s">
        <v>40</v>
      </c>
      <c r="C12" s="20" t="s">
        <v>30</v>
      </c>
      <c r="D12" s="20" t="s">
        <v>41</v>
      </c>
      <c r="E12" s="20" t="s">
        <v>42</v>
      </c>
      <c r="F12" s="23">
        <v>298.86</v>
      </c>
      <c r="G12" s="26">
        <v>308</v>
      </c>
      <c r="H12" s="29" t="str">
        <f>IF(RAW_DATA_DB[Stock]&lt;100," Low Stock","Available")</f>
        <v>Available</v>
      </c>
      <c r="O12" s="13">
        <v>9</v>
      </c>
      <c r="P12" s="12">
        <f t="shared" si="0"/>
        <v>495.72</v>
      </c>
      <c r="S12" s="38" t="s">
        <v>258</v>
      </c>
      <c r="T12" s="39">
        <v>478.41</v>
      </c>
      <c r="U12" s="32"/>
      <c r="V12" s="38" t="s">
        <v>258</v>
      </c>
      <c r="W12" s="39">
        <v>439</v>
      </c>
    </row>
    <row r="13" spans="1:24">
      <c r="A13" s="20">
        <v>11</v>
      </c>
      <c r="B13" s="20" t="s">
        <v>43</v>
      </c>
      <c r="C13" s="20" t="s">
        <v>7</v>
      </c>
      <c r="D13" s="20" t="s">
        <v>23</v>
      </c>
      <c r="E13" s="20" t="s">
        <v>44</v>
      </c>
      <c r="F13" s="23">
        <v>449.4</v>
      </c>
      <c r="G13" s="26">
        <v>276</v>
      </c>
      <c r="H13" s="30" t="str">
        <f>IF(RAW_DATA_DB[Stock]&lt;100," Low Stock","Available")</f>
        <v>Available</v>
      </c>
      <c r="O13" s="17">
        <v>10</v>
      </c>
      <c r="P13" s="12">
        <f t="shared" si="0"/>
        <v>298.86</v>
      </c>
      <c r="S13" s="38" t="s">
        <v>259</v>
      </c>
      <c r="T13" s="39">
        <v>17.309999999999999</v>
      </c>
      <c r="U13" s="32"/>
      <c r="V13" s="38" t="s">
        <v>259</v>
      </c>
      <c r="W13" s="39">
        <v>57</v>
      </c>
    </row>
    <row r="14" spans="1:24">
      <c r="A14" s="20">
        <v>12</v>
      </c>
      <c r="B14" s="20" t="s">
        <v>45</v>
      </c>
      <c r="C14" s="20" t="s">
        <v>26</v>
      </c>
      <c r="D14" s="20" t="s">
        <v>46</v>
      </c>
      <c r="E14" s="20" t="s">
        <v>47</v>
      </c>
      <c r="F14" s="23">
        <v>115.82</v>
      </c>
      <c r="G14" s="26">
        <v>460</v>
      </c>
      <c r="H14" s="29" t="str">
        <f>IF(RAW_DATA_DB[Stock]&lt;100," Low Stock","Available")</f>
        <v>Available</v>
      </c>
      <c r="O14" s="13">
        <v>11</v>
      </c>
      <c r="P14" s="12">
        <f t="shared" si="0"/>
        <v>449.4</v>
      </c>
      <c r="S14" s="38" t="s">
        <v>260</v>
      </c>
      <c r="T14" s="39">
        <v>495.72</v>
      </c>
      <c r="U14" s="32"/>
      <c r="V14" s="38" t="s">
        <v>260</v>
      </c>
      <c r="W14" s="39">
        <v>496</v>
      </c>
    </row>
    <row r="15" spans="1:24">
      <c r="A15" s="20">
        <v>13</v>
      </c>
      <c r="B15" s="20" t="s">
        <v>48</v>
      </c>
      <c r="C15" s="20" t="s">
        <v>7</v>
      </c>
      <c r="D15" s="20" t="s">
        <v>23</v>
      </c>
      <c r="E15" s="20" t="s">
        <v>49</v>
      </c>
      <c r="F15" s="23">
        <v>242.23</v>
      </c>
      <c r="G15" s="26">
        <v>453</v>
      </c>
      <c r="H15" s="30" t="str">
        <f>IF(RAW_DATA_DB[Stock]&lt;100," Low Stock","Available")</f>
        <v>Available</v>
      </c>
      <c r="O15" s="17">
        <v>12</v>
      </c>
      <c r="P15" s="12">
        <f t="shared" si="0"/>
        <v>115.82</v>
      </c>
      <c r="S15" s="38" t="s">
        <v>261</v>
      </c>
      <c r="T15" s="39">
        <v>25404.340000000007</v>
      </c>
      <c r="U15" s="32"/>
      <c r="V15" s="38" t="s">
        <v>261</v>
      </c>
      <c r="W15" s="39">
        <v>27357</v>
      </c>
    </row>
    <row r="16" spans="1:24" ht="15" thickBot="1">
      <c r="A16" s="20">
        <v>14</v>
      </c>
      <c r="B16" s="20" t="s">
        <v>50</v>
      </c>
      <c r="C16" s="20" t="s">
        <v>30</v>
      </c>
      <c r="D16" s="20" t="s">
        <v>51</v>
      </c>
      <c r="E16" s="20" t="s">
        <v>52</v>
      </c>
      <c r="F16" s="23">
        <v>48.01</v>
      </c>
      <c r="G16" s="26">
        <v>439</v>
      </c>
      <c r="H16" s="29" t="str">
        <f>IF(RAW_DATA_DB[Stock]&lt;100," Low Stock","Available")</f>
        <v>Available</v>
      </c>
      <c r="O16" s="13">
        <v>13</v>
      </c>
      <c r="P16" s="12">
        <f t="shared" si="0"/>
        <v>242.23</v>
      </c>
      <c r="S16" s="38" t="s">
        <v>262</v>
      </c>
      <c r="T16" s="39">
        <v>100</v>
      </c>
      <c r="U16" s="33"/>
      <c r="V16" s="38" t="s">
        <v>262</v>
      </c>
      <c r="W16" s="39">
        <v>100</v>
      </c>
    </row>
    <row r="17" spans="1:16">
      <c r="A17" s="20">
        <v>15</v>
      </c>
      <c r="B17" s="20" t="s">
        <v>53</v>
      </c>
      <c r="C17" s="20" t="s">
        <v>7</v>
      </c>
      <c r="D17" s="20" t="s">
        <v>54</v>
      </c>
      <c r="E17" s="20" t="s">
        <v>55</v>
      </c>
      <c r="F17" s="23">
        <v>465.34</v>
      </c>
      <c r="G17" s="26">
        <v>301</v>
      </c>
      <c r="H17" s="30" t="str">
        <f>IF(RAW_DATA_DB[Stock]&lt;100," Low Stock","Available")</f>
        <v>Available</v>
      </c>
      <c r="O17" s="17">
        <v>14</v>
      </c>
      <c r="P17" s="12">
        <f t="shared" si="0"/>
        <v>48.01</v>
      </c>
    </row>
    <row r="18" spans="1:16">
      <c r="A18" s="20">
        <v>16</v>
      </c>
      <c r="B18" s="20" t="s">
        <v>56</v>
      </c>
      <c r="C18" s="20" t="s">
        <v>26</v>
      </c>
      <c r="D18" s="20" t="s">
        <v>57</v>
      </c>
      <c r="E18" s="20" t="s">
        <v>58</v>
      </c>
      <c r="F18" s="23">
        <v>337.42</v>
      </c>
      <c r="G18" s="26">
        <v>256</v>
      </c>
      <c r="H18" s="29" t="str">
        <f>IF(RAW_DATA_DB[Stock]&lt;100," Low Stock","Available")</f>
        <v>Available</v>
      </c>
      <c r="O18" s="13">
        <v>15</v>
      </c>
      <c r="P18" s="12">
        <f t="shared" si="0"/>
        <v>465.34</v>
      </c>
    </row>
    <row r="19" spans="1:16">
      <c r="A19" s="20">
        <v>17</v>
      </c>
      <c r="B19" s="20" t="s">
        <v>59</v>
      </c>
      <c r="C19" s="20" t="s">
        <v>37</v>
      </c>
      <c r="D19" s="20" t="s">
        <v>23</v>
      </c>
      <c r="E19" s="20" t="s">
        <v>60</v>
      </c>
      <c r="F19" s="23">
        <v>144.53</v>
      </c>
      <c r="G19" s="26">
        <v>367</v>
      </c>
      <c r="H19" s="30" t="str">
        <f>IF(RAW_DATA_DB[Stock]&lt;100," Low Stock","Available")</f>
        <v>Available</v>
      </c>
      <c r="O19" s="17">
        <v>16</v>
      </c>
      <c r="P19" s="12">
        <f t="shared" si="0"/>
        <v>337.42</v>
      </c>
    </row>
    <row r="20" spans="1:16">
      <c r="A20" s="20">
        <v>18</v>
      </c>
      <c r="B20" s="20" t="s">
        <v>61</v>
      </c>
      <c r="C20" s="20" t="s">
        <v>11</v>
      </c>
      <c r="D20" s="20" t="s">
        <v>20</v>
      </c>
      <c r="E20" s="20" t="s">
        <v>62</v>
      </c>
      <c r="F20" s="23">
        <v>254.04</v>
      </c>
      <c r="G20" s="26">
        <v>343</v>
      </c>
      <c r="H20" s="29" t="str">
        <f>IF(RAW_DATA_DB[Stock]&lt;100," Low Stock","Available")</f>
        <v>Available</v>
      </c>
      <c r="O20" s="13">
        <v>17</v>
      </c>
      <c r="P20" s="12">
        <f t="shared" si="0"/>
        <v>144.53</v>
      </c>
    </row>
    <row r="21" spans="1:16">
      <c r="A21" s="20">
        <v>19</v>
      </c>
      <c r="B21" s="20" t="s">
        <v>63</v>
      </c>
      <c r="C21" s="20" t="s">
        <v>37</v>
      </c>
      <c r="D21" s="20" t="s">
        <v>64</v>
      </c>
      <c r="E21" s="20" t="s">
        <v>65</v>
      </c>
      <c r="F21" s="23">
        <v>21.34</v>
      </c>
      <c r="G21" s="26">
        <v>65</v>
      </c>
      <c r="H21" s="30" t="str">
        <f>IF(RAW_DATA_DB[Stock]&lt;100," Low Stock","Available")</f>
        <v xml:space="preserve"> Low Stock</v>
      </c>
      <c r="O21" s="17">
        <v>18</v>
      </c>
      <c r="P21" s="12">
        <f t="shared" si="0"/>
        <v>254.04</v>
      </c>
    </row>
    <row r="22" spans="1:16">
      <c r="A22" s="20">
        <v>20</v>
      </c>
      <c r="B22" s="20" t="s">
        <v>66</v>
      </c>
      <c r="C22" s="20" t="s">
        <v>37</v>
      </c>
      <c r="D22" s="20" t="s">
        <v>23</v>
      </c>
      <c r="E22" s="20" t="s">
        <v>67</v>
      </c>
      <c r="F22" s="23">
        <v>131.51</v>
      </c>
      <c r="G22" s="26">
        <v>276</v>
      </c>
      <c r="H22" s="29" t="str">
        <f>IF(RAW_DATA_DB[Stock]&lt;100," Low Stock","Available")</f>
        <v>Available</v>
      </c>
      <c r="O22" s="13">
        <v>19</v>
      </c>
      <c r="P22" s="12">
        <f t="shared" si="0"/>
        <v>21.34</v>
      </c>
    </row>
    <row r="23" spans="1:16">
      <c r="A23" s="20">
        <v>21</v>
      </c>
      <c r="B23" s="20" t="s">
        <v>68</v>
      </c>
      <c r="C23" s="20" t="s">
        <v>30</v>
      </c>
      <c r="D23" s="20" t="s">
        <v>69</v>
      </c>
      <c r="E23" s="20" t="s">
        <v>70</v>
      </c>
      <c r="F23" s="23">
        <v>123.46</v>
      </c>
      <c r="G23" s="26">
        <v>76</v>
      </c>
      <c r="H23" s="30" t="str">
        <f>IF(RAW_DATA_DB[Stock]&lt;100," Low Stock","Available")</f>
        <v xml:space="preserve"> Low Stock</v>
      </c>
      <c r="O23" s="17">
        <v>20</v>
      </c>
      <c r="P23" s="12">
        <f t="shared" si="0"/>
        <v>131.51</v>
      </c>
    </row>
    <row r="24" spans="1:16">
      <c r="A24" s="20">
        <v>22</v>
      </c>
      <c r="B24" s="20" t="s">
        <v>71</v>
      </c>
      <c r="C24" s="20" t="s">
        <v>37</v>
      </c>
      <c r="D24" s="20" t="s">
        <v>64</v>
      </c>
      <c r="E24" s="20" t="s">
        <v>72</v>
      </c>
      <c r="F24" s="23">
        <v>484.62</v>
      </c>
      <c r="G24" s="26">
        <v>432</v>
      </c>
      <c r="H24" s="29" t="str">
        <f>IF(RAW_DATA_DB[Stock]&lt;100," Low Stock","Available")</f>
        <v>Available</v>
      </c>
      <c r="O24" s="13">
        <v>21</v>
      </c>
      <c r="P24" s="12">
        <f t="shared" si="0"/>
        <v>123.46</v>
      </c>
    </row>
    <row r="25" spans="1:16">
      <c r="A25" s="20">
        <v>23</v>
      </c>
      <c r="B25" s="20" t="s">
        <v>73</v>
      </c>
      <c r="C25" s="20" t="s">
        <v>11</v>
      </c>
      <c r="D25" s="20" t="s">
        <v>12</v>
      </c>
      <c r="E25" s="20" t="s">
        <v>74</v>
      </c>
      <c r="F25" s="23">
        <v>254.04</v>
      </c>
      <c r="G25" s="26">
        <v>360</v>
      </c>
      <c r="H25" s="30" t="str">
        <f>IF(RAW_DATA_DB[Stock]&lt;100," Low Stock","Available")</f>
        <v>Available</v>
      </c>
      <c r="O25" s="17">
        <v>22</v>
      </c>
      <c r="P25" s="12">
        <f t="shared" si="0"/>
        <v>484.62</v>
      </c>
    </row>
    <row r="26" spans="1:16">
      <c r="A26" s="20">
        <v>24</v>
      </c>
      <c r="B26" s="20" t="s">
        <v>75</v>
      </c>
      <c r="C26" s="20" t="s">
        <v>37</v>
      </c>
      <c r="D26" s="20" t="s">
        <v>76</v>
      </c>
      <c r="E26" s="20" t="s">
        <v>77</v>
      </c>
      <c r="F26" s="23">
        <v>166.06</v>
      </c>
      <c r="G26" s="26">
        <v>340</v>
      </c>
      <c r="H26" s="29" t="str">
        <f>IF(RAW_DATA_DB[Stock]&lt;100," Low Stock","Available")</f>
        <v>Available</v>
      </c>
      <c r="O26" s="13">
        <v>23</v>
      </c>
      <c r="P26" s="12">
        <f t="shared" si="0"/>
        <v>254.04</v>
      </c>
    </row>
    <row r="27" spans="1:16">
      <c r="A27" s="20">
        <v>25</v>
      </c>
      <c r="B27" s="20" t="s">
        <v>78</v>
      </c>
      <c r="C27" s="20" t="s">
        <v>11</v>
      </c>
      <c r="D27" s="20" t="s">
        <v>23</v>
      </c>
      <c r="E27" s="20" t="s">
        <v>79</v>
      </c>
      <c r="F27" s="23">
        <v>174.02</v>
      </c>
      <c r="G27" s="26">
        <v>268</v>
      </c>
      <c r="H27" s="30" t="str">
        <f>IF(RAW_DATA_DB[Stock]&lt;100," Low Stock","Available")</f>
        <v>Available</v>
      </c>
      <c r="O27" s="17">
        <v>24</v>
      </c>
      <c r="P27" s="12">
        <f t="shared" si="0"/>
        <v>166.06</v>
      </c>
    </row>
    <row r="28" spans="1:16">
      <c r="A28" s="20">
        <v>26</v>
      </c>
      <c r="B28" s="20" t="s">
        <v>80</v>
      </c>
      <c r="C28" s="20" t="s">
        <v>7</v>
      </c>
      <c r="D28" s="20" t="s">
        <v>34</v>
      </c>
      <c r="E28" s="20" t="s">
        <v>81</v>
      </c>
      <c r="F28" s="23">
        <v>322.41000000000003</v>
      </c>
      <c r="G28" s="26">
        <v>213</v>
      </c>
      <c r="H28" s="29" t="str">
        <f>IF(RAW_DATA_DB[Stock]&lt;100," Low Stock","Available")</f>
        <v>Available</v>
      </c>
      <c r="O28" s="13">
        <v>25</v>
      </c>
      <c r="P28" s="12">
        <f t="shared" si="0"/>
        <v>174.02</v>
      </c>
    </row>
    <row r="29" spans="1:16">
      <c r="A29" s="20">
        <v>27</v>
      </c>
      <c r="B29" s="20" t="s">
        <v>82</v>
      </c>
      <c r="C29" s="20" t="s">
        <v>30</v>
      </c>
      <c r="D29" s="20" t="s">
        <v>51</v>
      </c>
      <c r="E29" s="20" t="s">
        <v>83</v>
      </c>
      <c r="F29" s="23">
        <v>254.04</v>
      </c>
      <c r="G29" s="26">
        <v>378</v>
      </c>
      <c r="H29" s="30" t="str">
        <f>IF(RAW_DATA_DB[Stock]&lt;100," Low Stock","Available")</f>
        <v>Available</v>
      </c>
      <c r="O29" s="17">
        <v>26</v>
      </c>
      <c r="P29" s="12">
        <f t="shared" si="0"/>
        <v>322.41000000000003</v>
      </c>
    </row>
    <row r="30" spans="1:16">
      <c r="A30" s="20">
        <v>28</v>
      </c>
      <c r="B30" s="20" t="s">
        <v>84</v>
      </c>
      <c r="C30" s="20" t="s">
        <v>37</v>
      </c>
      <c r="D30" s="20" t="s">
        <v>23</v>
      </c>
      <c r="E30" s="20" t="s">
        <v>85</v>
      </c>
      <c r="F30" s="23">
        <v>38.76</v>
      </c>
      <c r="G30" s="26">
        <v>137</v>
      </c>
      <c r="H30" s="29" t="str">
        <f>IF(RAW_DATA_DB[Stock]&lt;100," Low Stock","Available")</f>
        <v>Available</v>
      </c>
      <c r="O30" s="13">
        <v>27</v>
      </c>
      <c r="P30" s="12">
        <f t="shared" si="0"/>
        <v>254.04</v>
      </c>
    </row>
    <row r="31" spans="1:16">
      <c r="A31" s="20">
        <v>29</v>
      </c>
      <c r="B31" s="20" t="s">
        <v>86</v>
      </c>
      <c r="C31" s="20" t="s">
        <v>30</v>
      </c>
      <c r="D31" s="20" t="s">
        <v>51</v>
      </c>
      <c r="E31" s="20" t="s">
        <v>87</v>
      </c>
      <c r="F31" s="23">
        <v>218.48</v>
      </c>
      <c r="G31" s="26">
        <v>276</v>
      </c>
      <c r="H31" s="30" t="str">
        <f>IF(RAW_DATA_DB[Stock]&lt;100," Low Stock","Available")</f>
        <v>Available</v>
      </c>
      <c r="O31" s="17">
        <v>28</v>
      </c>
      <c r="P31" s="12">
        <f t="shared" si="0"/>
        <v>38.76</v>
      </c>
    </row>
    <row r="32" spans="1:16">
      <c r="A32" s="20">
        <v>30</v>
      </c>
      <c r="B32" s="20" t="s">
        <v>88</v>
      </c>
      <c r="C32" s="20" t="s">
        <v>30</v>
      </c>
      <c r="D32" s="20" t="s">
        <v>41</v>
      </c>
      <c r="E32" s="20" t="s">
        <v>89</v>
      </c>
      <c r="F32" s="23">
        <v>19.52</v>
      </c>
      <c r="G32" s="26">
        <v>57</v>
      </c>
      <c r="H32" s="29" t="str">
        <f>IF(RAW_DATA_DB[Stock]&lt;100," Low Stock","Available")</f>
        <v xml:space="preserve"> Low Stock</v>
      </c>
      <c r="O32" s="13">
        <v>29</v>
      </c>
      <c r="P32" s="12">
        <f t="shared" si="0"/>
        <v>218.48</v>
      </c>
    </row>
    <row r="33" spans="1:16">
      <c r="A33" s="20">
        <v>31</v>
      </c>
      <c r="B33" s="20" t="s">
        <v>90</v>
      </c>
      <c r="C33" s="20" t="s">
        <v>37</v>
      </c>
      <c r="D33" s="20" t="s">
        <v>91</v>
      </c>
      <c r="E33" s="20" t="s">
        <v>92</v>
      </c>
      <c r="F33" s="23">
        <v>204.39</v>
      </c>
      <c r="G33" s="26">
        <v>281</v>
      </c>
      <c r="H33" s="30" t="str">
        <f>IF(RAW_DATA_DB[Stock]&lt;100," Low Stock","Available")</f>
        <v>Available</v>
      </c>
      <c r="O33" s="17">
        <v>30</v>
      </c>
      <c r="P33" s="12">
        <f t="shared" si="0"/>
        <v>19.52</v>
      </c>
    </row>
    <row r="34" spans="1:16">
      <c r="A34" s="20">
        <v>32</v>
      </c>
      <c r="B34" s="20" t="s">
        <v>93</v>
      </c>
      <c r="C34" s="20" t="s">
        <v>26</v>
      </c>
      <c r="D34" s="20" t="s">
        <v>27</v>
      </c>
      <c r="E34" s="20" t="s">
        <v>94</v>
      </c>
      <c r="F34" s="23">
        <v>283.83</v>
      </c>
      <c r="G34" s="26">
        <v>244</v>
      </c>
      <c r="H34" s="29" t="str">
        <f>IF(RAW_DATA_DB[Stock]&lt;100," Low Stock","Available")</f>
        <v>Available</v>
      </c>
      <c r="O34" s="13">
        <v>31</v>
      </c>
      <c r="P34" s="12">
        <f t="shared" si="0"/>
        <v>204.39</v>
      </c>
    </row>
    <row r="35" spans="1:16">
      <c r="A35" s="20">
        <v>33</v>
      </c>
      <c r="B35" s="20" t="s">
        <v>95</v>
      </c>
      <c r="C35" s="20" t="s">
        <v>30</v>
      </c>
      <c r="D35" s="20" t="s">
        <v>51</v>
      </c>
      <c r="E35" s="20" t="s">
        <v>96</v>
      </c>
      <c r="F35" s="23">
        <v>179.77</v>
      </c>
      <c r="G35" s="26">
        <v>305</v>
      </c>
      <c r="H35" s="30" t="str">
        <f>IF(RAW_DATA_DB[Stock]&lt;100," Low Stock","Available")</f>
        <v>Available</v>
      </c>
      <c r="O35" s="17">
        <v>32</v>
      </c>
      <c r="P35" s="12">
        <f t="shared" ref="P35:P66" si="1">VLOOKUP(O35,$A34:$H133,6,FALSE)</f>
        <v>283.83</v>
      </c>
    </row>
    <row r="36" spans="1:16">
      <c r="A36" s="20">
        <v>34</v>
      </c>
      <c r="B36" s="20" t="s">
        <v>97</v>
      </c>
      <c r="C36" s="20" t="s">
        <v>7</v>
      </c>
      <c r="D36" s="20" t="s">
        <v>8</v>
      </c>
      <c r="E36" s="20" t="s">
        <v>98</v>
      </c>
      <c r="F36" s="23">
        <v>419.28</v>
      </c>
      <c r="G36" s="26">
        <v>86</v>
      </c>
      <c r="H36" s="29" t="str">
        <f>IF(RAW_DATA_DB[Stock]&lt;100," Low Stock","Available")</f>
        <v xml:space="preserve"> Low Stock</v>
      </c>
      <c r="O36" s="13">
        <v>33</v>
      </c>
      <c r="P36" s="12">
        <f t="shared" si="1"/>
        <v>179.77</v>
      </c>
    </row>
    <row r="37" spans="1:16">
      <c r="A37" s="20">
        <v>35</v>
      </c>
      <c r="B37" s="20" t="s">
        <v>99</v>
      </c>
      <c r="C37" s="20" t="s">
        <v>30</v>
      </c>
      <c r="D37" s="20" t="s">
        <v>31</v>
      </c>
      <c r="E37" s="20" t="s">
        <v>100</v>
      </c>
      <c r="F37" s="23">
        <v>382.22</v>
      </c>
      <c r="G37" s="26">
        <v>329</v>
      </c>
      <c r="H37" s="30" t="str">
        <f>IF(RAW_DATA_DB[Stock]&lt;100," Low Stock","Available")</f>
        <v>Available</v>
      </c>
      <c r="O37" s="17">
        <v>34</v>
      </c>
      <c r="P37" s="12">
        <f t="shared" si="1"/>
        <v>419.28</v>
      </c>
    </row>
    <row r="38" spans="1:16">
      <c r="A38" s="20">
        <v>36</v>
      </c>
      <c r="B38" s="20" t="s">
        <v>101</v>
      </c>
      <c r="C38" s="20" t="s">
        <v>11</v>
      </c>
      <c r="D38" s="20" t="s">
        <v>12</v>
      </c>
      <c r="E38" s="20" t="s">
        <v>102</v>
      </c>
      <c r="F38" s="23">
        <v>223.43</v>
      </c>
      <c r="G38" s="26">
        <v>154</v>
      </c>
      <c r="H38" s="29" t="str">
        <f>IF(RAW_DATA_DB[Stock]&lt;100," Low Stock","Available")</f>
        <v>Available</v>
      </c>
      <c r="O38" s="13">
        <v>35</v>
      </c>
      <c r="P38" s="12">
        <f t="shared" si="1"/>
        <v>382.22</v>
      </c>
    </row>
    <row r="39" spans="1:16">
      <c r="A39" s="20">
        <v>37</v>
      </c>
      <c r="B39" s="20" t="s">
        <v>103</v>
      </c>
      <c r="C39" s="20" t="s">
        <v>11</v>
      </c>
      <c r="D39" s="20" t="s">
        <v>104</v>
      </c>
      <c r="E39" s="20" t="s">
        <v>105</v>
      </c>
      <c r="F39" s="23">
        <v>353.47</v>
      </c>
      <c r="G39" s="26">
        <v>214</v>
      </c>
      <c r="H39" s="30" t="str">
        <f>IF(RAW_DATA_DB[Stock]&lt;100," Low Stock","Available")</f>
        <v>Available</v>
      </c>
      <c r="O39" s="17">
        <v>36</v>
      </c>
      <c r="P39" s="12">
        <f t="shared" si="1"/>
        <v>223.43</v>
      </c>
    </row>
    <row r="40" spans="1:16">
      <c r="A40" s="20">
        <v>38</v>
      </c>
      <c r="B40" s="20" t="s">
        <v>106</v>
      </c>
      <c r="C40" s="20" t="s">
        <v>37</v>
      </c>
      <c r="D40" s="20" t="s">
        <v>76</v>
      </c>
      <c r="E40" s="20" t="s">
        <v>107</v>
      </c>
      <c r="F40" s="23">
        <v>135.61000000000001</v>
      </c>
      <c r="G40" s="26">
        <v>394</v>
      </c>
      <c r="H40" s="29" t="str">
        <f>IF(RAW_DATA_DB[Stock]&lt;100," Low Stock","Available")</f>
        <v>Available</v>
      </c>
      <c r="O40" s="13">
        <v>37</v>
      </c>
      <c r="P40" s="12">
        <f t="shared" si="1"/>
        <v>353.47</v>
      </c>
    </row>
    <row r="41" spans="1:16">
      <c r="A41" s="20">
        <v>39</v>
      </c>
      <c r="B41" s="20" t="s">
        <v>108</v>
      </c>
      <c r="C41" s="20" t="s">
        <v>7</v>
      </c>
      <c r="D41" s="20" t="s">
        <v>109</v>
      </c>
      <c r="E41" s="20" t="s">
        <v>110</v>
      </c>
      <c r="F41" s="23">
        <v>326.06</v>
      </c>
      <c r="G41" s="26">
        <v>301</v>
      </c>
      <c r="H41" s="30" t="str">
        <f>IF(RAW_DATA_DB[Stock]&lt;100," Low Stock","Available")</f>
        <v>Available</v>
      </c>
      <c r="O41" s="17">
        <v>38</v>
      </c>
      <c r="P41" s="12">
        <f t="shared" si="1"/>
        <v>135.61000000000001</v>
      </c>
    </row>
    <row r="42" spans="1:16">
      <c r="A42" s="20">
        <v>40</v>
      </c>
      <c r="B42" s="20" t="s">
        <v>111</v>
      </c>
      <c r="C42" s="20" t="s">
        <v>7</v>
      </c>
      <c r="D42" s="20" t="s">
        <v>34</v>
      </c>
      <c r="E42" s="20" t="s">
        <v>112</v>
      </c>
      <c r="F42" s="23">
        <v>38.520000000000003</v>
      </c>
      <c r="G42" s="26">
        <v>378</v>
      </c>
      <c r="H42" s="29" t="str">
        <f>IF(RAW_DATA_DB[Stock]&lt;100," Low Stock","Available")</f>
        <v>Available</v>
      </c>
      <c r="O42" s="13">
        <v>39</v>
      </c>
      <c r="P42" s="12">
        <f t="shared" si="1"/>
        <v>326.06</v>
      </c>
    </row>
    <row r="43" spans="1:16">
      <c r="A43" s="20">
        <v>41</v>
      </c>
      <c r="B43" s="20" t="s">
        <v>113</v>
      </c>
      <c r="C43" s="20" t="s">
        <v>37</v>
      </c>
      <c r="D43" s="20" t="s">
        <v>38</v>
      </c>
      <c r="E43" s="20" t="s">
        <v>114</v>
      </c>
      <c r="F43" s="23">
        <v>313.26</v>
      </c>
      <c r="G43" s="26">
        <v>369</v>
      </c>
      <c r="H43" s="30" t="str">
        <f>IF(RAW_DATA_DB[Stock]&lt;100," Low Stock","Available")</f>
        <v>Available</v>
      </c>
      <c r="O43" s="17">
        <v>40</v>
      </c>
      <c r="P43" s="12">
        <f t="shared" si="1"/>
        <v>38.520000000000003</v>
      </c>
    </row>
    <row r="44" spans="1:16">
      <c r="A44" s="20">
        <v>42</v>
      </c>
      <c r="B44" s="20" t="s">
        <v>115</v>
      </c>
      <c r="C44" s="20" t="s">
        <v>7</v>
      </c>
      <c r="D44" s="20" t="s">
        <v>23</v>
      </c>
      <c r="E44" s="20" t="s">
        <v>116</v>
      </c>
      <c r="F44" s="23">
        <v>450.71</v>
      </c>
      <c r="G44" s="26">
        <v>389</v>
      </c>
      <c r="H44" s="29" t="str">
        <f>IF(RAW_DATA_DB[Stock]&lt;100," Low Stock","Available")</f>
        <v>Available</v>
      </c>
      <c r="O44" s="13">
        <v>41</v>
      </c>
      <c r="P44" s="12">
        <f t="shared" si="1"/>
        <v>313.26</v>
      </c>
    </row>
    <row r="45" spans="1:16">
      <c r="A45" s="20">
        <v>43</v>
      </c>
      <c r="B45" s="20" t="s">
        <v>117</v>
      </c>
      <c r="C45" s="20" t="s">
        <v>7</v>
      </c>
      <c r="D45" s="20" t="s">
        <v>8</v>
      </c>
      <c r="E45" s="20" t="s">
        <v>118</v>
      </c>
      <c r="F45" s="23">
        <v>253.33</v>
      </c>
      <c r="G45" s="26">
        <v>266</v>
      </c>
      <c r="H45" s="30" t="str">
        <f>IF(RAW_DATA_DB[Stock]&lt;100," Low Stock","Available")</f>
        <v>Available</v>
      </c>
      <c r="O45" s="17">
        <v>42</v>
      </c>
      <c r="P45" s="12">
        <f t="shared" si="1"/>
        <v>450.71</v>
      </c>
    </row>
    <row r="46" spans="1:16">
      <c r="A46" s="20">
        <v>44</v>
      </c>
      <c r="B46" s="20" t="s">
        <v>119</v>
      </c>
      <c r="C46" s="20" t="s">
        <v>37</v>
      </c>
      <c r="D46" s="20" t="s">
        <v>38</v>
      </c>
      <c r="E46" s="20" t="s">
        <v>120</v>
      </c>
      <c r="F46" s="23">
        <v>167.12</v>
      </c>
      <c r="G46" s="26">
        <v>316</v>
      </c>
      <c r="H46" s="29" t="str">
        <f>IF(RAW_DATA_DB[Stock]&lt;100," Low Stock","Available")</f>
        <v>Available</v>
      </c>
      <c r="O46" s="13">
        <v>43</v>
      </c>
      <c r="P46" s="12">
        <f t="shared" si="1"/>
        <v>253.33</v>
      </c>
    </row>
    <row r="47" spans="1:16">
      <c r="A47" s="20">
        <v>45</v>
      </c>
      <c r="B47" s="20" t="s">
        <v>121</v>
      </c>
      <c r="C47" s="20" t="s">
        <v>37</v>
      </c>
      <c r="D47" s="20" t="s">
        <v>91</v>
      </c>
      <c r="E47" s="20" t="s">
        <v>122</v>
      </c>
      <c r="F47" s="23">
        <v>318.91000000000003</v>
      </c>
      <c r="G47" s="26">
        <v>114</v>
      </c>
      <c r="H47" s="30" t="str">
        <f>IF(RAW_DATA_DB[Stock]&lt;100," Low Stock","Available")</f>
        <v>Available</v>
      </c>
      <c r="O47" s="17">
        <v>44</v>
      </c>
      <c r="P47" s="12">
        <f t="shared" si="1"/>
        <v>167.12</v>
      </c>
    </row>
    <row r="48" spans="1:16">
      <c r="A48" s="20">
        <v>46</v>
      </c>
      <c r="B48" s="20" t="s">
        <v>123</v>
      </c>
      <c r="C48" s="20" t="s">
        <v>11</v>
      </c>
      <c r="D48" s="20" t="s">
        <v>15</v>
      </c>
      <c r="E48" s="20" t="s">
        <v>124</v>
      </c>
      <c r="F48" s="23">
        <v>167.34</v>
      </c>
      <c r="G48" s="26">
        <v>296</v>
      </c>
      <c r="H48" s="29" t="str">
        <f>IF(RAW_DATA_DB[Stock]&lt;100," Low Stock","Available")</f>
        <v>Available</v>
      </c>
      <c r="O48" s="13">
        <v>45</v>
      </c>
      <c r="P48" s="12">
        <f t="shared" si="1"/>
        <v>318.91000000000003</v>
      </c>
    </row>
    <row r="49" spans="1:16">
      <c r="A49" s="20">
        <v>47</v>
      </c>
      <c r="B49" s="20" t="s">
        <v>125</v>
      </c>
      <c r="C49" s="20" t="s">
        <v>26</v>
      </c>
      <c r="D49" s="20" t="s">
        <v>126</v>
      </c>
      <c r="E49" s="20" t="s">
        <v>127</v>
      </c>
      <c r="F49" s="23">
        <v>254.04</v>
      </c>
      <c r="G49" s="26">
        <v>431</v>
      </c>
      <c r="H49" s="30" t="str">
        <f>IF(RAW_DATA_DB[Stock]&lt;100," Low Stock","Available")</f>
        <v>Available</v>
      </c>
      <c r="O49" s="17">
        <v>46</v>
      </c>
      <c r="P49" s="12">
        <f t="shared" si="1"/>
        <v>167.34</v>
      </c>
    </row>
    <row r="50" spans="1:16">
      <c r="A50" s="20">
        <v>48</v>
      </c>
      <c r="B50" s="20" t="s">
        <v>128</v>
      </c>
      <c r="C50" s="20" t="s">
        <v>7</v>
      </c>
      <c r="D50" s="20" t="s">
        <v>23</v>
      </c>
      <c r="E50" s="20" t="s">
        <v>129</v>
      </c>
      <c r="F50" s="23">
        <v>177.98</v>
      </c>
      <c r="G50" s="26">
        <v>103</v>
      </c>
      <c r="H50" s="29" t="str">
        <f>IF(RAW_DATA_DB[Stock]&lt;100," Low Stock","Available")</f>
        <v>Available</v>
      </c>
      <c r="O50" s="13">
        <v>47</v>
      </c>
      <c r="P50" s="12">
        <f t="shared" si="1"/>
        <v>254.04</v>
      </c>
    </row>
    <row r="51" spans="1:16">
      <c r="A51" s="20">
        <v>49</v>
      </c>
      <c r="B51" s="20" t="s">
        <v>130</v>
      </c>
      <c r="C51" s="20" t="s">
        <v>26</v>
      </c>
      <c r="D51" s="20" t="s">
        <v>131</v>
      </c>
      <c r="E51" s="20" t="s">
        <v>132</v>
      </c>
      <c r="F51" s="23">
        <v>43.29</v>
      </c>
      <c r="G51" s="26">
        <v>267</v>
      </c>
      <c r="H51" s="30" t="str">
        <f>IF(RAW_DATA_DB[Stock]&lt;100," Low Stock","Available")</f>
        <v>Available</v>
      </c>
      <c r="O51" s="17">
        <v>48</v>
      </c>
      <c r="P51" s="12">
        <f t="shared" si="1"/>
        <v>177.98</v>
      </c>
    </row>
    <row r="52" spans="1:16">
      <c r="A52" s="20">
        <v>50</v>
      </c>
      <c r="B52" s="20" t="s">
        <v>133</v>
      </c>
      <c r="C52" s="20" t="s">
        <v>37</v>
      </c>
      <c r="D52" s="20" t="s">
        <v>38</v>
      </c>
      <c r="E52" s="20" t="s">
        <v>134</v>
      </c>
      <c r="F52" s="23">
        <v>190.29</v>
      </c>
      <c r="G52" s="26">
        <v>260</v>
      </c>
      <c r="H52" s="29" t="str">
        <f>IF(RAW_DATA_DB[Stock]&lt;100," Low Stock","Available")</f>
        <v>Available</v>
      </c>
      <c r="O52" s="13">
        <v>49</v>
      </c>
      <c r="P52" s="12">
        <f t="shared" si="1"/>
        <v>43.29</v>
      </c>
    </row>
    <row r="53" spans="1:16">
      <c r="A53" s="20">
        <v>51</v>
      </c>
      <c r="B53" s="20" t="s">
        <v>135</v>
      </c>
      <c r="C53" s="20" t="s">
        <v>7</v>
      </c>
      <c r="D53" s="20" t="s">
        <v>23</v>
      </c>
      <c r="E53" s="20" t="s">
        <v>136</v>
      </c>
      <c r="F53" s="23">
        <v>88.49</v>
      </c>
      <c r="G53" s="26">
        <v>246</v>
      </c>
      <c r="H53" s="30" t="str">
        <f>IF(RAW_DATA_DB[Stock]&lt;100," Low Stock","Available")</f>
        <v>Available</v>
      </c>
      <c r="O53" s="17">
        <v>50</v>
      </c>
      <c r="P53" s="12">
        <f t="shared" si="1"/>
        <v>190.29</v>
      </c>
    </row>
    <row r="54" spans="1:16">
      <c r="A54" s="20">
        <v>52</v>
      </c>
      <c r="B54" s="20" t="s">
        <v>137</v>
      </c>
      <c r="C54" s="20" t="s">
        <v>37</v>
      </c>
      <c r="D54" s="20" t="s">
        <v>91</v>
      </c>
      <c r="E54" s="20" t="s">
        <v>138</v>
      </c>
      <c r="F54" s="23">
        <v>212.26</v>
      </c>
      <c r="G54" s="26">
        <v>82</v>
      </c>
      <c r="H54" s="29" t="str">
        <f>IF(RAW_DATA_DB[Stock]&lt;100," Low Stock","Available")</f>
        <v xml:space="preserve"> Low Stock</v>
      </c>
      <c r="O54" s="13">
        <v>51</v>
      </c>
      <c r="P54" s="12">
        <f t="shared" si="1"/>
        <v>88.49</v>
      </c>
    </row>
    <row r="55" spans="1:16">
      <c r="A55" s="20">
        <v>53</v>
      </c>
      <c r="B55" s="20" t="s">
        <v>139</v>
      </c>
      <c r="C55" s="20" t="s">
        <v>11</v>
      </c>
      <c r="D55" s="20" t="s">
        <v>20</v>
      </c>
      <c r="E55" s="20" t="s">
        <v>140</v>
      </c>
      <c r="F55" s="23">
        <v>386.56</v>
      </c>
      <c r="G55" s="26">
        <v>125</v>
      </c>
      <c r="H55" s="30" t="str">
        <f>IF(RAW_DATA_DB[Stock]&lt;100," Low Stock","Available")</f>
        <v>Available</v>
      </c>
      <c r="O55" s="17">
        <v>52</v>
      </c>
      <c r="P55" s="12">
        <f t="shared" si="1"/>
        <v>212.26</v>
      </c>
    </row>
    <row r="56" spans="1:16">
      <c r="A56" s="20">
        <v>54</v>
      </c>
      <c r="B56" s="20" t="s">
        <v>141</v>
      </c>
      <c r="C56" s="20" t="s">
        <v>37</v>
      </c>
      <c r="D56" s="20" t="s">
        <v>23</v>
      </c>
      <c r="E56" s="20" t="s">
        <v>142</v>
      </c>
      <c r="F56" s="23">
        <v>434.84</v>
      </c>
      <c r="G56" s="26">
        <v>185</v>
      </c>
      <c r="H56" s="29" t="str">
        <f>IF(RAW_DATA_DB[Stock]&lt;100," Low Stock","Available")</f>
        <v>Available</v>
      </c>
      <c r="O56" s="13">
        <v>53</v>
      </c>
      <c r="P56" s="12">
        <f t="shared" si="1"/>
        <v>386.56</v>
      </c>
    </row>
    <row r="57" spans="1:16">
      <c r="A57" s="20">
        <v>55</v>
      </c>
      <c r="B57" s="20" t="s">
        <v>143</v>
      </c>
      <c r="C57" s="20" t="s">
        <v>30</v>
      </c>
      <c r="D57" s="20" t="s">
        <v>51</v>
      </c>
      <c r="E57" s="20" t="s">
        <v>144</v>
      </c>
      <c r="F57" s="23">
        <v>81.75</v>
      </c>
      <c r="G57" s="26">
        <v>276</v>
      </c>
      <c r="H57" s="30" t="str">
        <f>IF(RAW_DATA_DB[Stock]&lt;100," Low Stock","Available")</f>
        <v>Available</v>
      </c>
      <c r="O57" s="17">
        <v>54</v>
      </c>
      <c r="P57" s="12">
        <f t="shared" si="1"/>
        <v>434.84</v>
      </c>
    </row>
    <row r="58" spans="1:16">
      <c r="A58" s="20">
        <v>56</v>
      </c>
      <c r="B58" s="20" t="s">
        <v>145</v>
      </c>
      <c r="C58" s="20" t="s">
        <v>30</v>
      </c>
      <c r="D58" s="20" t="s">
        <v>51</v>
      </c>
      <c r="E58" s="20" t="s">
        <v>146</v>
      </c>
      <c r="F58" s="23">
        <v>461.47</v>
      </c>
      <c r="G58" s="26">
        <v>190</v>
      </c>
      <c r="H58" s="29" t="str">
        <f>IF(RAW_DATA_DB[Stock]&lt;100," Low Stock","Available")</f>
        <v>Available</v>
      </c>
      <c r="O58" s="13">
        <v>55</v>
      </c>
      <c r="P58" s="12">
        <f t="shared" si="1"/>
        <v>81.75</v>
      </c>
    </row>
    <row r="59" spans="1:16">
      <c r="A59" s="20">
        <v>57</v>
      </c>
      <c r="B59" s="20" t="s">
        <v>147</v>
      </c>
      <c r="C59" s="20" t="s">
        <v>37</v>
      </c>
      <c r="D59" s="20" t="s">
        <v>38</v>
      </c>
      <c r="E59" s="20" t="s">
        <v>148</v>
      </c>
      <c r="F59" s="23">
        <v>30.62</v>
      </c>
      <c r="G59" s="26">
        <v>138</v>
      </c>
      <c r="H59" s="30" t="str">
        <f>IF(RAW_DATA_DB[Stock]&lt;100," Low Stock","Available")</f>
        <v>Available</v>
      </c>
      <c r="O59" s="17">
        <v>56</v>
      </c>
      <c r="P59" s="12">
        <f t="shared" si="1"/>
        <v>461.47</v>
      </c>
    </row>
    <row r="60" spans="1:16">
      <c r="A60" s="20">
        <v>58</v>
      </c>
      <c r="B60" s="20" t="s">
        <v>149</v>
      </c>
      <c r="C60" s="20" t="s">
        <v>11</v>
      </c>
      <c r="D60" s="20" t="s">
        <v>23</v>
      </c>
      <c r="E60" s="20" t="s">
        <v>150</v>
      </c>
      <c r="F60" s="23">
        <v>113.83</v>
      </c>
      <c r="G60" s="26">
        <v>485</v>
      </c>
      <c r="H60" s="29" t="str">
        <f>IF(RAW_DATA_DB[Stock]&lt;100," Low Stock","Available")</f>
        <v>Available</v>
      </c>
      <c r="O60" s="13">
        <v>57</v>
      </c>
      <c r="P60" s="12">
        <f t="shared" si="1"/>
        <v>30.62</v>
      </c>
    </row>
    <row r="61" spans="1:16">
      <c r="A61" s="20">
        <v>59</v>
      </c>
      <c r="B61" s="20" t="s">
        <v>151</v>
      </c>
      <c r="C61" s="20" t="s">
        <v>26</v>
      </c>
      <c r="D61" s="20" t="s">
        <v>46</v>
      </c>
      <c r="E61" s="20" t="s">
        <v>152</v>
      </c>
      <c r="F61" s="23">
        <v>17.309999999999999</v>
      </c>
      <c r="G61" s="26">
        <v>399</v>
      </c>
      <c r="H61" s="30" t="str">
        <f>IF(RAW_DATA_DB[Stock]&lt;100," Low Stock","Available")</f>
        <v>Available</v>
      </c>
      <c r="O61" s="17">
        <v>58</v>
      </c>
      <c r="P61" s="12">
        <f t="shared" si="1"/>
        <v>113.83</v>
      </c>
    </row>
    <row r="62" spans="1:16">
      <c r="A62" s="20">
        <v>60</v>
      </c>
      <c r="B62" s="20" t="s">
        <v>153</v>
      </c>
      <c r="C62" s="20" t="s">
        <v>26</v>
      </c>
      <c r="D62" s="20" t="s">
        <v>131</v>
      </c>
      <c r="E62" s="20" t="s">
        <v>154</v>
      </c>
      <c r="F62" s="23">
        <v>482.75</v>
      </c>
      <c r="G62" s="26">
        <v>444</v>
      </c>
      <c r="H62" s="29" t="str">
        <f>IF(RAW_DATA_DB[Stock]&lt;100," Low Stock","Available")</f>
        <v>Available</v>
      </c>
      <c r="O62" s="13">
        <v>59</v>
      </c>
      <c r="P62" s="12">
        <f t="shared" si="1"/>
        <v>17.309999999999999</v>
      </c>
    </row>
    <row r="63" spans="1:16">
      <c r="A63" s="20">
        <v>61</v>
      </c>
      <c r="B63" s="20" t="s">
        <v>155</v>
      </c>
      <c r="C63" s="20" t="s">
        <v>37</v>
      </c>
      <c r="D63" s="20" t="s">
        <v>64</v>
      </c>
      <c r="E63" s="20" t="s">
        <v>156</v>
      </c>
      <c r="F63" s="23">
        <v>103.45</v>
      </c>
      <c r="G63" s="26">
        <v>465</v>
      </c>
      <c r="H63" s="30" t="str">
        <f>IF(RAW_DATA_DB[Stock]&lt;100," Low Stock","Available")</f>
        <v>Available</v>
      </c>
      <c r="O63" s="17">
        <v>60</v>
      </c>
      <c r="P63" s="12">
        <f t="shared" si="1"/>
        <v>482.75</v>
      </c>
    </row>
    <row r="64" spans="1:16">
      <c r="A64" s="20">
        <v>62</v>
      </c>
      <c r="B64" s="20" t="s">
        <v>157</v>
      </c>
      <c r="C64" s="20" t="s">
        <v>7</v>
      </c>
      <c r="D64" s="20" t="s">
        <v>8</v>
      </c>
      <c r="E64" s="20" t="s">
        <v>158</v>
      </c>
      <c r="F64" s="23">
        <v>86.42</v>
      </c>
      <c r="G64" s="26">
        <v>222</v>
      </c>
      <c r="H64" s="29" t="str">
        <f>IF(RAW_DATA_DB[Stock]&lt;100," Low Stock","Available")</f>
        <v>Available</v>
      </c>
      <c r="O64" s="13">
        <v>61</v>
      </c>
      <c r="P64" s="12">
        <f t="shared" si="1"/>
        <v>103.45</v>
      </c>
    </row>
    <row r="65" spans="1:16">
      <c r="A65" s="20">
        <v>63</v>
      </c>
      <c r="B65" s="20" t="s">
        <v>159</v>
      </c>
      <c r="C65" s="20" t="s">
        <v>26</v>
      </c>
      <c r="D65" s="20" t="s">
        <v>27</v>
      </c>
      <c r="E65" s="20" t="s">
        <v>160</v>
      </c>
      <c r="F65" s="23">
        <v>266.86</v>
      </c>
      <c r="G65" s="26">
        <v>458</v>
      </c>
      <c r="H65" s="30" t="str">
        <f>IF(RAW_DATA_DB[Stock]&lt;100," Low Stock","Available")</f>
        <v>Available</v>
      </c>
      <c r="O65" s="17">
        <v>62</v>
      </c>
      <c r="P65" s="12">
        <f t="shared" si="1"/>
        <v>86.42</v>
      </c>
    </row>
    <row r="66" spans="1:16">
      <c r="A66" s="20">
        <v>64</v>
      </c>
      <c r="B66" s="20" t="s">
        <v>161</v>
      </c>
      <c r="C66" s="20" t="s">
        <v>26</v>
      </c>
      <c r="D66" s="20" t="s">
        <v>126</v>
      </c>
      <c r="E66" s="20" t="s">
        <v>162</v>
      </c>
      <c r="F66" s="23">
        <v>299.11</v>
      </c>
      <c r="G66" s="26">
        <v>118</v>
      </c>
      <c r="H66" s="29" t="str">
        <f>IF(RAW_DATA_DB[Stock]&lt;100," Low Stock","Available")</f>
        <v>Available</v>
      </c>
      <c r="O66" s="13">
        <v>63</v>
      </c>
      <c r="P66" s="12">
        <f t="shared" si="1"/>
        <v>266.86</v>
      </c>
    </row>
    <row r="67" spans="1:16">
      <c r="A67" s="20">
        <v>65</v>
      </c>
      <c r="B67" s="20" t="s">
        <v>163</v>
      </c>
      <c r="C67" s="20" t="s">
        <v>37</v>
      </c>
      <c r="D67" s="20" t="s">
        <v>38</v>
      </c>
      <c r="E67" s="20" t="s">
        <v>164</v>
      </c>
      <c r="F67" s="23">
        <v>240.63</v>
      </c>
      <c r="G67" s="26">
        <v>423</v>
      </c>
      <c r="H67" s="30" t="str">
        <f>IF(RAW_DATA_DB[Stock]&lt;100," Low Stock","Available")</f>
        <v>Available</v>
      </c>
      <c r="O67" s="17">
        <v>64</v>
      </c>
      <c r="P67" s="12">
        <f t="shared" ref="P67:P98" si="2">VLOOKUP(O67,$A66:$H165,6,FALSE)</f>
        <v>299.11</v>
      </c>
    </row>
    <row r="68" spans="1:16">
      <c r="A68" s="20">
        <v>66</v>
      </c>
      <c r="B68" s="20" t="s">
        <v>165</v>
      </c>
      <c r="C68" s="20" t="s">
        <v>26</v>
      </c>
      <c r="D68" s="20" t="s">
        <v>46</v>
      </c>
      <c r="E68" s="20" t="s">
        <v>166</v>
      </c>
      <c r="F68" s="23">
        <v>340.39</v>
      </c>
      <c r="G68" s="26">
        <v>177</v>
      </c>
      <c r="H68" s="29" t="str">
        <f>IF(RAW_DATA_DB[Stock]&lt;100," Low Stock","Available")</f>
        <v>Available</v>
      </c>
      <c r="O68" s="13">
        <v>65</v>
      </c>
      <c r="P68" s="12">
        <f t="shared" si="2"/>
        <v>240.63</v>
      </c>
    </row>
    <row r="69" spans="1:16">
      <c r="A69" s="20">
        <v>67</v>
      </c>
      <c r="B69" s="20" t="s">
        <v>167</v>
      </c>
      <c r="C69" s="20" t="s">
        <v>7</v>
      </c>
      <c r="D69" s="20" t="s">
        <v>23</v>
      </c>
      <c r="E69" s="20" t="s">
        <v>168</v>
      </c>
      <c r="F69" s="23">
        <v>349.17</v>
      </c>
      <c r="G69" s="26">
        <v>476</v>
      </c>
      <c r="H69" s="30" t="str">
        <f>IF(RAW_DATA_DB[Stock]&lt;100," Low Stock","Available")</f>
        <v>Available</v>
      </c>
      <c r="O69" s="17">
        <v>66</v>
      </c>
      <c r="P69" s="12">
        <f t="shared" si="2"/>
        <v>340.39</v>
      </c>
    </row>
    <row r="70" spans="1:16">
      <c r="A70" s="20">
        <v>68</v>
      </c>
      <c r="B70" s="20" t="s">
        <v>169</v>
      </c>
      <c r="C70" s="20" t="s">
        <v>30</v>
      </c>
      <c r="D70" s="20" t="s">
        <v>170</v>
      </c>
      <c r="E70" s="20" t="s">
        <v>171</v>
      </c>
      <c r="F70" s="23">
        <v>243.7</v>
      </c>
      <c r="G70" s="26">
        <v>130</v>
      </c>
      <c r="H70" s="29" t="str">
        <f>IF(RAW_DATA_DB[Stock]&lt;100," Low Stock","Available")</f>
        <v>Available</v>
      </c>
      <c r="O70" s="13">
        <v>67</v>
      </c>
      <c r="P70" s="12">
        <f t="shared" si="2"/>
        <v>349.17</v>
      </c>
    </row>
    <row r="71" spans="1:16">
      <c r="A71" s="20">
        <v>69</v>
      </c>
      <c r="B71" s="20" t="s">
        <v>172</v>
      </c>
      <c r="C71" s="20" t="s">
        <v>11</v>
      </c>
      <c r="D71" s="20" t="s">
        <v>20</v>
      </c>
      <c r="E71" s="20" t="s">
        <v>173</v>
      </c>
      <c r="F71" s="23">
        <v>218.22</v>
      </c>
      <c r="G71" s="26">
        <v>224</v>
      </c>
      <c r="H71" s="30" t="str">
        <f>IF(RAW_DATA_DB[Stock]&lt;100," Low Stock","Available")</f>
        <v>Available</v>
      </c>
      <c r="O71" s="17">
        <v>68</v>
      </c>
      <c r="P71" s="12">
        <f t="shared" si="2"/>
        <v>243.7</v>
      </c>
    </row>
    <row r="72" spans="1:16">
      <c r="A72" s="20">
        <v>70</v>
      </c>
      <c r="B72" s="20" t="s">
        <v>174</v>
      </c>
      <c r="C72" s="20" t="s">
        <v>30</v>
      </c>
      <c r="D72" s="20" t="s">
        <v>69</v>
      </c>
      <c r="E72" s="20" t="s">
        <v>175</v>
      </c>
      <c r="F72" s="23">
        <v>138.05000000000001</v>
      </c>
      <c r="G72" s="26">
        <v>89</v>
      </c>
      <c r="H72" s="29" t="str">
        <f>IF(RAW_DATA_DB[Stock]&lt;100," Low Stock","Available")</f>
        <v xml:space="preserve"> Low Stock</v>
      </c>
      <c r="O72" s="13">
        <v>69</v>
      </c>
      <c r="P72" s="12">
        <f t="shared" si="2"/>
        <v>218.22</v>
      </c>
    </row>
    <row r="73" spans="1:16">
      <c r="A73" s="20">
        <v>71</v>
      </c>
      <c r="B73" s="20" t="s">
        <v>176</v>
      </c>
      <c r="C73" s="20" t="s">
        <v>26</v>
      </c>
      <c r="D73" s="20" t="s">
        <v>46</v>
      </c>
      <c r="E73" s="20" t="s">
        <v>177</v>
      </c>
      <c r="F73" s="23">
        <v>214.32</v>
      </c>
      <c r="G73" s="26">
        <v>383</v>
      </c>
      <c r="H73" s="30" t="str">
        <f>IF(RAW_DATA_DB[Stock]&lt;100," Low Stock","Available")</f>
        <v>Available</v>
      </c>
      <c r="O73" s="17">
        <v>70</v>
      </c>
      <c r="P73" s="12">
        <f t="shared" si="2"/>
        <v>138.05000000000001</v>
      </c>
    </row>
    <row r="74" spans="1:16">
      <c r="A74" s="20">
        <v>72</v>
      </c>
      <c r="B74" s="20" t="s">
        <v>178</v>
      </c>
      <c r="C74" s="20" t="s">
        <v>37</v>
      </c>
      <c r="D74" s="20" t="s">
        <v>38</v>
      </c>
      <c r="E74" s="20" t="s">
        <v>179</v>
      </c>
      <c r="F74" s="23">
        <v>477.61</v>
      </c>
      <c r="G74" s="26">
        <v>300</v>
      </c>
      <c r="H74" s="29" t="str">
        <f>IF(RAW_DATA_DB[Stock]&lt;100," Low Stock","Available")</f>
        <v>Available</v>
      </c>
      <c r="O74" s="13">
        <v>71</v>
      </c>
      <c r="P74" s="12">
        <f t="shared" si="2"/>
        <v>214.32</v>
      </c>
    </row>
    <row r="75" spans="1:16">
      <c r="A75" s="20">
        <v>73</v>
      </c>
      <c r="B75" s="20" t="s">
        <v>180</v>
      </c>
      <c r="C75" s="20" t="s">
        <v>37</v>
      </c>
      <c r="D75" s="20" t="s">
        <v>91</v>
      </c>
      <c r="E75" s="20" t="s">
        <v>181</v>
      </c>
      <c r="F75" s="23">
        <v>107.06</v>
      </c>
      <c r="G75" s="26">
        <v>359</v>
      </c>
      <c r="H75" s="30" t="str">
        <f>IF(RAW_DATA_DB[Stock]&lt;100," Low Stock","Available")</f>
        <v>Available</v>
      </c>
      <c r="O75" s="17">
        <v>72</v>
      </c>
      <c r="P75" s="12">
        <f t="shared" si="2"/>
        <v>477.61</v>
      </c>
    </row>
    <row r="76" spans="1:16">
      <c r="A76" s="20">
        <v>74</v>
      </c>
      <c r="B76" s="20" t="s">
        <v>182</v>
      </c>
      <c r="C76" s="20" t="s">
        <v>7</v>
      </c>
      <c r="D76" s="20" t="s">
        <v>34</v>
      </c>
      <c r="E76" s="20" t="s">
        <v>183</v>
      </c>
      <c r="F76" s="23">
        <v>403.71</v>
      </c>
      <c r="G76" s="26">
        <v>159</v>
      </c>
      <c r="H76" s="29" t="str">
        <f>IF(RAW_DATA_DB[Stock]&lt;100," Low Stock","Available")</f>
        <v>Available</v>
      </c>
      <c r="O76" s="13">
        <v>73</v>
      </c>
      <c r="P76" s="12">
        <f t="shared" si="2"/>
        <v>107.06</v>
      </c>
    </row>
    <row r="77" spans="1:16">
      <c r="A77" s="20">
        <v>75</v>
      </c>
      <c r="B77" s="20" t="s">
        <v>184</v>
      </c>
      <c r="C77" s="20" t="s">
        <v>11</v>
      </c>
      <c r="D77" s="20" t="s">
        <v>104</v>
      </c>
      <c r="E77" s="20" t="s">
        <v>185</v>
      </c>
      <c r="F77" s="23">
        <v>158.13999999999999</v>
      </c>
      <c r="G77" s="26">
        <v>82</v>
      </c>
      <c r="H77" s="30" t="str">
        <f>IF(RAW_DATA_DB[Stock]&lt;100," Low Stock","Available")</f>
        <v xml:space="preserve"> Low Stock</v>
      </c>
      <c r="O77" s="17">
        <v>74</v>
      </c>
      <c r="P77" s="12">
        <f t="shared" si="2"/>
        <v>403.71</v>
      </c>
    </row>
    <row r="78" spans="1:16">
      <c r="A78" s="20">
        <v>76</v>
      </c>
      <c r="B78" s="20" t="s">
        <v>186</v>
      </c>
      <c r="C78" s="20" t="s">
        <v>7</v>
      </c>
      <c r="D78" s="20" t="s">
        <v>8</v>
      </c>
      <c r="E78" s="20" t="s">
        <v>187</v>
      </c>
      <c r="F78" s="23">
        <v>392.89</v>
      </c>
      <c r="G78" s="26">
        <v>320</v>
      </c>
      <c r="H78" s="29" t="str">
        <f>IF(RAW_DATA_DB[Stock]&lt;100," Low Stock","Available")</f>
        <v>Available</v>
      </c>
      <c r="O78" s="13">
        <v>75</v>
      </c>
      <c r="P78" s="12">
        <f t="shared" si="2"/>
        <v>158.13999999999999</v>
      </c>
    </row>
    <row r="79" spans="1:16">
      <c r="A79" s="20">
        <v>77</v>
      </c>
      <c r="B79" s="20" t="s">
        <v>188</v>
      </c>
      <c r="C79" s="20" t="s">
        <v>7</v>
      </c>
      <c r="D79" s="20" t="s">
        <v>54</v>
      </c>
      <c r="E79" s="20" t="s">
        <v>189</v>
      </c>
      <c r="F79" s="23">
        <v>480.9</v>
      </c>
      <c r="G79" s="26">
        <v>104</v>
      </c>
      <c r="H79" s="30" t="str">
        <f>IF(RAW_DATA_DB[Stock]&lt;100," Low Stock","Available")</f>
        <v>Available</v>
      </c>
      <c r="O79" s="17">
        <v>76</v>
      </c>
      <c r="P79" s="12">
        <f t="shared" si="2"/>
        <v>392.89</v>
      </c>
    </row>
    <row r="80" spans="1:16">
      <c r="A80" s="20">
        <v>78</v>
      </c>
      <c r="B80" s="20" t="s">
        <v>190</v>
      </c>
      <c r="C80" s="20" t="s">
        <v>30</v>
      </c>
      <c r="D80" s="20" t="s">
        <v>51</v>
      </c>
      <c r="E80" s="20" t="s">
        <v>191</v>
      </c>
      <c r="F80" s="23">
        <v>325.26</v>
      </c>
      <c r="G80" s="26">
        <v>400</v>
      </c>
      <c r="H80" s="29" t="str">
        <f>IF(RAW_DATA_DB[Stock]&lt;100," Low Stock","Available")</f>
        <v>Available</v>
      </c>
      <c r="O80" s="13">
        <v>77</v>
      </c>
      <c r="P80" s="12">
        <f t="shared" si="2"/>
        <v>480.9</v>
      </c>
    </row>
    <row r="81" spans="1:16">
      <c r="A81" s="20">
        <v>79</v>
      </c>
      <c r="B81" s="20" t="s">
        <v>192</v>
      </c>
      <c r="C81" s="20" t="s">
        <v>30</v>
      </c>
      <c r="D81" s="20" t="s">
        <v>31</v>
      </c>
      <c r="E81" s="20" t="s">
        <v>193</v>
      </c>
      <c r="F81" s="23">
        <v>228.53</v>
      </c>
      <c r="G81" s="26">
        <v>469</v>
      </c>
      <c r="H81" s="30" t="str">
        <f>IF(RAW_DATA_DB[Stock]&lt;100," Low Stock","Available")</f>
        <v>Available</v>
      </c>
      <c r="O81" s="17">
        <v>78</v>
      </c>
      <c r="P81" s="12">
        <f t="shared" si="2"/>
        <v>325.26</v>
      </c>
    </row>
    <row r="82" spans="1:16">
      <c r="A82" s="20">
        <v>80</v>
      </c>
      <c r="B82" s="20" t="s">
        <v>194</v>
      </c>
      <c r="C82" s="20" t="s">
        <v>30</v>
      </c>
      <c r="D82" s="20" t="s">
        <v>41</v>
      </c>
      <c r="E82" s="20" t="s">
        <v>195</v>
      </c>
      <c r="F82" s="23">
        <v>143.43</v>
      </c>
      <c r="G82" s="26">
        <v>58</v>
      </c>
      <c r="H82" s="29" t="str">
        <f>IF(RAW_DATA_DB[Stock]&lt;100," Low Stock","Available")</f>
        <v xml:space="preserve"> Low Stock</v>
      </c>
      <c r="O82" s="13">
        <v>79</v>
      </c>
      <c r="P82" s="12">
        <f t="shared" si="2"/>
        <v>228.53</v>
      </c>
    </row>
    <row r="83" spans="1:16">
      <c r="A83" s="20">
        <v>81</v>
      </c>
      <c r="B83" s="20" t="s">
        <v>196</v>
      </c>
      <c r="C83" s="20" t="s">
        <v>37</v>
      </c>
      <c r="D83" s="20" t="s">
        <v>64</v>
      </c>
      <c r="E83" s="20" t="s">
        <v>197</v>
      </c>
      <c r="F83" s="23">
        <v>285.54000000000002</v>
      </c>
      <c r="G83" s="26">
        <v>358</v>
      </c>
      <c r="H83" s="30" t="str">
        <f>IF(RAW_DATA_DB[Stock]&lt;100," Low Stock","Available")</f>
        <v>Available</v>
      </c>
      <c r="O83" s="17">
        <v>80</v>
      </c>
      <c r="P83" s="12">
        <f t="shared" si="2"/>
        <v>143.43</v>
      </c>
    </row>
    <row r="84" spans="1:16">
      <c r="A84" s="20">
        <v>82</v>
      </c>
      <c r="B84" s="20" t="s">
        <v>198</v>
      </c>
      <c r="C84" s="20" t="s">
        <v>37</v>
      </c>
      <c r="D84" s="20" t="s">
        <v>38</v>
      </c>
      <c r="E84" s="20" t="s">
        <v>199</v>
      </c>
      <c r="F84" s="23">
        <v>152.91999999999999</v>
      </c>
      <c r="G84" s="26">
        <v>281</v>
      </c>
      <c r="H84" s="29" t="str">
        <f>IF(RAW_DATA_DB[Stock]&lt;100," Low Stock","Available")</f>
        <v>Available</v>
      </c>
      <c r="O84" s="13">
        <v>81</v>
      </c>
      <c r="P84" s="12">
        <f t="shared" si="2"/>
        <v>285.54000000000002</v>
      </c>
    </row>
    <row r="85" spans="1:16">
      <c r="A85" s="20">
        <v>83</v>
      </c>
      <c r="B85" s="20" t="s">
        <v>200</v>
      </c>
      <c r="C85" s="20" t="s">
        <v>26</v>
      </c>
      <c r="D85" s="20" t="s">
        <v>27</v>
      </c>
      <c r="E85" s="20" t="s">
        <v>201</v>
      </c>
      <c r="F85" s="23">
        <v>254.04</v>
      </c>
      <c r="G85" s="26">
        <v>159</v>
      </c>
      <c r="H85" s="30" t="str">
        <f>IF(RAW_DATA_DB[Stock]&lt;100," Low Stock","Available")</f>
        <v>Available</v>
      </c>
      <c r="O85" s="17">
        <v>82</v>
      </c>
      <c r="P85" s="12">
        <f t="shared" si="2"/>
        <v>152.91999999999999</v>
      </c>
    </row>
    <row r="86" spans="1:16">
      <c r="A86" s="20">
        <v>84</v>
      </c>
      <c r="B86" s="20" t="s">
        <v>202</v>
      </c>
      <c r="C86" s="20" t="s">
        <v>30</v>
      </c>
      <c r="D86" s="20" t="s">
        <v>170</v>
      </c>
      <c r="E86" s="20" t="s">
        <v>203</v>
      </c>
      <c r="F86" s="23">
        <v>388.46</v>
      </c>
      <c r="G86" s="26">
        <v>208</v>
      </c>
      <c r="H86" s="29" t="str">
        <f>IF(RAW_DATA_DB[Stock]&lt;100," Low Stock","Available")</f>
        <v>Available</v>
      </c>
      <c r="O86" s="13">
        <v>83</v>
      </c>
      <c r="P86" s="12">
        <f t="shared" si="2"/>
        <v>254.04</v>
      </c>
    </row>
    <row r="87" spans="1:16">
      <c r="A87" s="20">
        <v>85</v>
      </c>
      <c r="B87" s="20" t="s">
        <v>204</v>
      </c>
      <c r="C87" s="20" t="s">
        <v>11</v>
      </c>
      <c r="D87" s="20" t="s">
        <v>23</v>
      </c>
      <c r="E87" s="20" t="s">
        <v>205</v>
      </c>
      <c r="F87" s="23">
        <v>119.57</v>
      </c>
      <c r="G87" s="26">
        <v>210</v>
      </c>
      <c r="H87" s="30" t="str">
        <f>IF(RAW_DATA_DB[Stock]&lt;100," Low Stock","Available")</f>
        <v>Available</v>
      </c>
      <c r="O87" s="17">
        <v>84</v>
      </c>
      <c r="P87" s="12">
        <f t="shared" si="2"/>
        <v>388.46</v>
      </c>
    </row>
    <row r="88" spans="1:16">
      <c r="A88" s="20">
        <v>86</v>
      </c>
      <c r="B88" s="20" t="s">
        <v>206</v>
      </c>
      <c r="C88" s="20" t="s">
        <v>30</v>
      </c>
      <c r="D88" s="20" t="s">
        <v>41</v>
      </c>
      <c r="E88" s="20" t="s">
        <v>207</v>
      </c>
      <c r="F88" s="23">
        <v>176.07</v>
      </c>
      <c r="G88" s="26">
        <v>82</v>
      </c>
      <c r="H88" s="29" t="str">
        <f>IF(RAW_DATA_DB[Stock]&lt;100," Low Stock","Available")</f>
        <v xml:space="preserve"> Low Stock</v>
      </c>
      <c r="O88" s="13">
        <v>85</v>
      </c>
      <c r="P88" s="12">
        <f t="shared" si="2"/>
        <v>119.57</v>
      </c>
    </row>
    <row r="89" spans="1:16">
      <c r="A89" s="20">
        <v>87</v>
      </c>
      <c r="B89" s="20" t="s">
        <v>208</v>
      </c>
      <c r="C89" s="20" t="s">
        <v>30</v>
      </c>
      <c r="D89" s="20" t="s">
        <v>31</v>
      </c>
      <c r="E89" s="20" t="s">
        <v>209</v>
      </c>
      <c r="F89" s="23">
        <v>371.38</v>
      </c>
      <c r="G89" s="26">
        <v>220</v>
      </c>
      <c r="H89" s="30" t="str">
        <f>IF(RAW_DATA_DB[Stock]&lt;100," Low Stock","Available")</f>
        <v>Available</v>
      </c>
      <c r="O89" s="17">
        <v>86</v>
      </c>
      <c r="P89" s="12">
        <f t="shared" si="2"/>
        <v>176.07</v>
      </c>
    </row>
    <row r="90" spans="1:16">
      <c r="A90" s="20">
        <v>88</v>
      </c>
      <c r="B90" s="20" t="s">
        <v>210</v>
      </c>
      <c r="C90" s="20" t="s">
        <v>37</v>
      </c>
      <c r="D90" s="20" t="s">
        <v>23</v>
      </c>
      <c r="E90" s="20" t="s">
        <v>211</v>
      </c>
      <c r="F90" s="23">
        <v>131.24</v>
      </c>
      <c r="G90" s="26">
        <v>232</v>
      </c>
      <c r="H90" s="29" t="str">
        <f>IF(RAW_DATA_DB[Stock]&lt;100," Low Stock","Available")</f>
        <v>Available</v>
      </c>
      <c r="O90" s="13">
        <v>87</v>
      </c>
      <c r="P90" s="12">
        <f t="shared" si="2"/>
        <v>371.38</v>
      </c>
    </row>
    <row r="91" spans="1:16">
      <c r="A91" s="20">
        <v>89</v>
      </c>
      <c r="B91" s="20" t="s">
        <v>212</v>
      </c>
      <c r="C91" s="20" t="s">
        <v>26</v>
      </c>
      <c r="D91" s="20" t="s">
        <v>126</v>
      </c>
      <c r="E91" s="20" t="s">
        <v>213</v>
      </c>
      <c r="F91" s="23">
        <v>183.04</v>
      </c>
      <c r="G91" s="26">
        <v>457</v>
      </c>
      <c r="H91" s="30" t="str">
        <f>IF(RAW_DATA_DB[Stock]&lt;100," Low Stock","Available")</f>
        <v>Available</v>
      </c>
      <c r="O91" s="17">
        <v>88</v>
      </c>
      <c r="P91" s="12">
        <f t="shared" si="2"/>
        <v>131.24</v>
      </c>
    </row>
    <row r="92" spans="1:16">
      <c r="A92" s="20">
        <v>90</v>
      </c>
      <c r="B92" s="20" t="s">
        <v>214</v>
      </c>
      <c r="C92" s="20" t="s">
        <v>7</v>
      </c>
      <c r="D92" s="20" t="s">
        <v>23</v>
      </c>
      <c r="E92" s="20" t="s">
        <v>215</v>
      </c>
      <c r="F92" s="23">
        <v>340.14</v>
      </c>
      <c r="G92" s="26">
        <v>361</v>
      </c>
      <c r="H92" s="29" t="str">
        <f>IF(RAW_DATA_DB[Stock]&lt;100," Low Stock","Available")</f>
        <v>Available</v>
      </c>
      <c r="O92" s="13">
        <v>89</v>
      </c>
      <c r="P92" s="12">
        <f t="shared" si="2"/>
        <v>183.04</v>
      </c>
    </row>
    <row r="93" spans="1:16">
      <c r="A93" s="20">
        <v>91</v>
      </c>
      <c r="B93" s="20" t="s">
        <v>216</v>
      </c>
      <c r="C93" s="20" t="s">
        <v>11</v>
      </c>
      <c r="D93" s="20" t="s">
        <v>104</v>
      </c>
      <c r="E93" s="20" t="s">
        <v>217</v>
      </c>
      <c r="F93" s="23">
        <v>438.25</v>
      </c>
      <c r="G93" s="26">
        <v>496</v>
      </c>
      <c r="H93" s="30" t="str">
        <f>IF(RAW_DATA_DB[Stock]&lt;100," Low Stock","Available")</f>
        <v>Available</v>
      </c>
      <c r="O93" s="17">
        <v>90</v>
      </c>
      <c r="P93" s="12">
        <f t="shared" si="2"/>
        <v>340.14</v>
      </c>
    </row>
    <row r="94" spans="1:16">
      <c r="A94" s="20">
        <v>92</v>
      </c>
      <c r="B94" s="20" t="s">
        <v>218</v>
      </c>
      <c r="C94" s="20" t="s">
        <v>30</v>
      </c>
      <c r="D94" s="20" t="s">
        <v>54</v>
      </c>
      <c r="E94" s="20" t="s">
        <v>219</v>
      </c>
      <c r="F94" s="23">
        <v>447.43</v>
      </c>
      <c r="G94" s="26">
        <v>191</v>
      </c>
      <c r="H94" s="29" t="str">
        <f>IF(RAW_DATA_DB[Stock]&lt;100," Low Stock","Available")</f>
        <v>Available</v>
      </c>
      <c r="O94" s="13">
        <v>91</v>
      </c>
      <c r="P94" s="12">
        <f t="shared" si="2"/>
        <v>438.25</v>
      </c>
    </row>
    <row r="95" spans="1:16">
      <c r="A95" s="20">
        <v>93</v>
      </c>
      <c r="B95" s="20" t="s">
        <v>220</v>
      </c>
      <c r="C95" s="20" t="s">
        <v>7</v>
      </c>
      <c r="D95" s="20" t="s">
        <v>8</v>
      </c>
      <c r="E95" s="20" t="s">
        <v>221</v>
      </c>
      <c r="F95" s="23">
        <v>377.52</v>
      </c>
      <c r="G95" s="26">
        <v>485</v>
      </c>
      <c r="H95" s="30" t="str">
        <f>IF(RAW_DATA_DB[Stock]&lt;100," Low Stock","Available")</f>
        <v>Available</v>
      </c>
      <c r="O95" s="17">
        <v>92</v>
      </c>
      <c r="P95" s="12">
        <f t="shared" si="2"/>
        <v>447.43</v>
      </c>
    </row>
    <row r="96" spans="1:16">
      <c r="A96" s="20">
        <v>94</v>
      </c>
      <c r="B96" s="20" t="s">
        <v>222</v>
      </c>
      <c r="C96" s="20" t="s">
        <v>26</v>
      </c>
      <c r="D96" s="20" t="s">
        <v>27</v>
      </c>
      <c r="E96" s="20" t="s">
        <v>223</v>
      </c>
      <c r="F96" s="23">
        <v>358.47</v>
      </c>
      <c r="G96" s="26">
        <v>213</v>
      </c>
      <c r="H96" s="29" t="str">
        <f>IF(RAW_DATA_DB[Stock]&lt;100," Low Stock","Available")</f>
        <v>Available</v>
      </c>
      <c r="O96" s="13">
        <v>93</v>
      </c>
      <c r="P96" s="12">
        <f t="shared" si="2"/>
        <v>377.52</v>
      </c>
    </row>
    <row r="97" spans="1:16">
      <c r="A97" s="20">
        <v>95</v>
      </c>
      <c r="B97" s="20" t="s">
        <v>224</v>
      </c>
      <c r="C97" s="20" t="s">
        <v>37</v>
      </c>
      <c r="D97" s="20" t="s">
        <v>23</v>
      </c>
      <c r="E97" s="20" t="s">
        <v>225</v>
      </c>
      <c r="F97" s="23">
        <v>60.65</v>
      </c>
      <c r="G97" s="26">
        <v>75</v>
      </c>
      <c r="H97" s="30" t="str">
        <f>IF(RAW_DATA_DB[Stock]&lt;100," Low Stock","Available")</f>
        <v xml:space="preserve"> Low Stock</v>
      </c>
      <c r="O97" s="17">
        <v>94</v>
      </c>
      <c r="P97" s="12">
        <f t="shared" si="2"/>
        <v>358.47</v>
      </c>
    </row>
    <row r="98" spans="1:16">
      <c r="A98" s="20">
        <v>96</v>
      </c>
      <c r="B98" s="20" t="s">
        <v>226</v>
      </c>
      <c r="C98" s="20" t="s">
        <v>11</v>
      </c>
      <c r="D98" s="20" t="s">
        <v>15</v>
      </c>
      <c r="E98" s="20" t="s">
        <v>227</v>
      </c>
      <c r="F98" s="23">
        <v>358.47</v>
      </c>
      <c r="G98" s="26">
        <v>143</v>
      </c>
      <c r="H98" s="29" t="str">
        <f>IF(RAW_DATA_DB[Stock]&lt;100," Low Stock","Available")</f>
        <v>Available</v>
      </c>
      <c r="O98" s="13">
        <v>95</v>
      </c>
      <c r="P98" s="12">
        <f t="shared" si="2"/>
        <v>60.65</v>
      </c>
    </row>
    <row r="99" spans="1:16">
      <c r="A99" s="20">
        <v>97</v>
      </c>
      <c r="B99" s="20" t="s">
        <v>228</v>
      </c>
      <c r="C99" s="20" t="s">
        <v>37</v>
      </c>
      <c r="D99" s="20" t="s">
        <v>91</v>
      </c>
      <c r="E99" s="20" t="s">
        <v>229</v>
      </c>
      <c r="F99" s="23">
        <v>245.98</v>
      </c>
      <c r="G99" s="26">
        <v>471</v>
      </c>
      <c r="H99" s="30" t="str">
        <f>IF(RAW_DATA_DB[Stock]&lt;100," Low Stock","Available")</f>
        <v>Available</v>
      </c>
      <c r="O99" s="17">
        <v>96</v>
      </c>
      <c r="P99" s="12">
        <f>VLOOKUP(O99,$A98:$H197,6,FALSE)</f>
        <v>358.47</v>
      </c>
    </row>
    <row r="100" spans="1:16">
      <c r="A100" s="20">
        <v>98</v>
      </c>
      <c r="B100" s="20" t="s">
        <v>230</v>
      </c>
      <c r="C100" s="20" t="s">
        <v>7</v>
      </c>
      <c r="D100" s="20" t="s">
        <v>34</v>
      </c>
      <c r="E100" s="20" t="s">
        <v>231</v>
      </c>
      <c r="F100" s="23">
        <v>431.67</v>
      </c>
      <c r="G100" s="26">
        <v>73</v>
      </c>
      <c r="H100" s="29" t="str">
        <f>IF(RAW_DATA_DB[Stock]&lt;100," Low Stock","Available")</f>
        <v xml:space="preserve"> Low Stock</v>
      </c>
      <c r="O100" s="13">
        <v>97</v>
      </c>
      <c r="P100" s="12">
        <f>VLOOKUP(O100,$A99:$H198,6,FALSE)</f>
        <v>245.98</v>
      </c>
    </row>
    <row r="101" spans="1:16">
      <c r="A101" s="20">
        <v>99</v>
      </c>
      <c r="B101" s="20" t="s">
        <v>232</v>
      </c>
      <c r="C101" s="20" t="s">
        <v>30</v>
      </c>
      <c r="D101" s="20" t="s">
        <v>41</v>
      </c>
      <c r="E101" s="20" t="s">
        <v>233</v>
      </c>
      <c r="F101" s="23">
        <v>201.41</v>
      </c>
      <c r="G101" s="26">
        <v>146</v>
      </c>
      <c r="H101" s="30" t="str">
        <f>IF(RAW_DATA_DB[Stock]&lt;100," Low Stock","Available")</f>
        <v>Available</v>
      </c>
      <c r="O101" s="17">
        <v>98</v>
      </c>
      <c r="P101" s="12">
        <f>VLOOKUP(O101,$A100:$H199,6,FALSE)</f>
        <v>431.67</v>
      </c>
    </row>
    <row r="102" spans="1:16">
      <c r="A102" s="21"/>
      <c r="B102" s="21"/>
      <c r="C102" s="21"/>
      <c r="D102" s="21"/>
      <c r="E102" s="21"/>
      <c r="F102" s="24"/>
      <c r="G102" s="27"/>
      <c r="H102" s="31"/>
      <c r="O102" s="14">
        <v>99</v>
      </c>
      <c r="P102" s="15">
        <f>VLOOKUP(O102,$A101:$H200,6,FALSE)</f>
        <v>201.41</v>
      </c>
    </row>
  </sheetData>
  <mergeCells count="1">
    <mergeCell ref="O1:P1"/>
  </mergeCells>
  <pageMargins left="0.7" right="0.7" top="0.75" bottom="0.75" header="0.3" footer="0.3"/>
  <pageSetup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2026-06-21T13:45:50Z</dcterms:created>
  <dcterms:modified xsi:type="dcterms:W3CDTF">2026-06-26T07:10:08Z</dcterms:modified>
</cp:coreProperties>
</file>